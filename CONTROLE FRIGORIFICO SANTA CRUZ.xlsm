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xr:revisionPtr revIDLastSave="0" documentId="8_{68B5AA73-903D-4C42-811C-3C7C20C8D918}" xr6:coauthVersionLast="47" xr6:coauthVersionMax="47" xr10:uidLastSave="{00000000-0000-0000-0000-000000000000}"/>
  <bookViews>
    <workbookView xWindow="-120" yWindow="-120" windowWidth="20730" windowHeight="11160" tabRatio="459" xr2:uid="{00000000-000D-0000-FFFF-FFFF00000000}"/>
  </bookViews>
  <sheets>
    <sheet name="Geral" sheetId="13" r:id="rId1"/>
    <sheet name="Graficos" sheetId="9" r:id="rId2"/>
    <sheet name="Fixos" sheetId="12" r:id="rId3"/>
    <sheet name="Funcionario" sheetId="5" r:id="rId4"/>
    <sheet name="Fornecedores" sheetId="6" r:id="rId5"/>
    <sheet name="Clientes" sheetId="7" r:id="rId6"/>
    <sheet name="Despesas" sheetId="8" r:id="rId7"/>
  </sheets>
  <definedNames>
    <definedName name="fornecedores">Fornecedores!#REF!</definedName>
    <definedName name="fornecedores1">Fornecedores!#REF!</definedName>
    <definedName name="fornecedores2">Fornecedores!#REF!</definedName>
    <definedName name="Mercadoria">Fornecedores!#REF!</definedName>
    <definedName name="mercadoria1">#REF!</definedName>
    <definedName name="Mercadorias">Fornecedores!#REF!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3" l="1"/>
  <c r="M76" i="6"/>
  <c r="M70" i="6"/>
  <c r="M64" i="6"/>
  <c r="M58" i="6"/>
  <c r="M52" i="6"/>
  <c r="M46" i="6"/>
  <c r="M40" i="6"/>
  <c r="M34" i="6"/>
  <c r="I77" i="8"/>
  <c r="H77" i="8"/>
  <c r="G77" i="8"/>
  <c r="N76" i="8"/>
  <c r="N75" i="8"/>
  <c r="N74" i="8"/>
  <c r="N73" i="8"/>
  <c r="N72" i="8"/>
  <c r="N71" i="8"/>
  <c r="N70" i="8"/>
  <c r="N69" i="8"/>
  <c r="M63" i="8"/>
  <c r="L63" i="8"/>
  <c r="K63" i="8"/>
  <c r="J63" i="8"/>
  <c r="I63" i="8"/>
  <c r="H63" i="8"/>
  <c r="G63" i="8"/>
  <c r="N62" i="8"/>
  <c r="N61" i="8"/>
  <c r="N60" i="8"/>
  <c r="N59" i="8"/>
  <c r="N58" i="8"/>
  <c r="N57" i="8"/>
  <c r="N56" i="8"/>
  <c r="N55" i="8"/>
  <c r="M49" i="8"/>
  <c r="L49" i="8"/>
  <c r="K49" i="8"/>
  <c r="J49" i="8"/>
  <c r="I49" i="8"/>
  <c r="H49" i="8"/>
  <c r="G49" i="8"/>
  <c r="N48" i="8"/>
  <c r="N47" i="8"/>
  <c r="N46" i="8"/>
  <c r="N45" i="8"/>
  <c r="N44" i="8"/>
  <c r="N43" i="8"/>
  <c r="N42" i="8"/>
  <c r="N41" i="8"/>
  <c r="M35" i="8"/>
  <c r="L35" i="8"/>
  <c r="K35" i="8"/>
  <c r="J35" i="8"/>
  <c r="I35" i="8"/>
  <c r="H35" i="8"/>
  <c r="G35" i="8"/>
  <c r="N34" i="8"/>
  <c r="N33" i="8"/>
  <c r="N32" i="8"/>
  <c r="N31" i="8"/>
  <c r="N30" i="8"/>
  <c r="N29" i="8"/>
  <c r="N28" i="8"/>
  <c r="N27" i="8"/>
  <c r="P12" i="5"/>
  <c r="P13" i="5"/>
  <c r="P14" i="5"/>
  <c r="P15" i="5"/>
  <c r="P16" i="5"/>
  <c r="P17" i="5"/>
  <c r="P18" i="5"/>
  <c r="P19" i="5"/>
  <c r="P20" i="5"/>
  <c r="P21" i="5"/>
  <c r="P22" i="5"/>
  <c r="P23" i="5"/>
  <c r="N27" i="7"/>
  <c r="N33" i="7"/>
  <c r="N39" i="7"/>
  <c r="N45" i="7"/>
  <c r="N51" i="7"/>
  <c r="N15" i="7"/>
  <c r="N21" i="7"/>
  <c r="N9" i="7"/>
  <c r="P11" i="5"/>
  <c r="N13" i="8"/>
  <c r="N14" i="8"/>
  <c r="N15" i="8"/>
  <c r="N16" i="8"/>
  <c r="N17" i="8"/>
  <c r="N18" i="8"/>
  <c r="N19" i="8"/>
  <c r="O11" i="12"/>
  <c r="E12" i="13" s="1"/>
  <c r="N12" i="8"/>
  <c r="H20" i="8"/>
  <c r="I20" i="8"/>
  <c r="J20" i="8"/>
  <c r="K20" i="8"/>
  <c r="L20" i="8"/>
  <c r="M20" i="8"/>
  <c r="G20" i="8"/>
  <c r="Q36" i="6" l="1"/>
  <c r="Q12" i="13" s="1"/>
  <c r="R11" i="7"/>
  <c r="N12" i="13" s="1"/>
  <c r="N49" i="8"/>
  <c r="N63" i="8"/>
  <c r="N35" i="8"/>
  <c r="N77" i="8"/>
  <c r="S12" i="5"/>
  <c r="K12" i="13" s="1"/>
  <c r="N20" i="8"/>
  <c r="P10" i="8" l="1"/>
  <c r="P14" i="8"/>
</calcChain>
</file>

<file path=xl/sharedStrings.xml><?xml version="1.0" encoding="utf-8"?>
<sst xmlns="http://schemas.openxmlformats.org/spreadsheetml/2006/main" count="145" uniqueCount="70">
  <si>
    <t>TOTAIS</t>
  </si>
  <si>
    <t>FORNECEDORES</t>
  </si>
  <si>
    <t>FUNCIONARIOS</t>
  </si>
  <si>
    <t>CLIENTES</t>
  </si>
  <si>
    <t>TOTAL</t>
  </si>
  <si>
    <t>Contas</t>
  </si>
  <si>
    <t>Descrição</t>
  </si>
  <si>
    <t>Valor</t>
  </si>
  <si>
    <t>ENERGIA</t>
  </si>
  <si>
    <t>ÁGUA</t>
  </si>
  <si>
    <t>INTERNET</t>
  </si>
  <si>
    <t>OUTROS</t>
  </si>
  <si>
    <t>LUÍS</t>
  </si>
  <si>
    <t>SILANDIA</t>
  </si>
  <si>
    <t>ZÉ LUÍS</t>
  </si>
  <si>
    <t xml:space="preserve">ZÉ </t>
  </si>
  <si>
    <t>CONTADOR</t>
  </si>
  <si>
    <t xml:space="preserve">ANDREYNA </t>
  </si>
  <si>
    <t>MATADOURO</t>
  </si>
  <si>
    <t>MOZANIEL</t>
  </si>
  <si>
    <t>PEDRO</t>
  </si>
  <si>
    <t>KAMI</t>
  </si>
  <si>
    <t>CEARA</t>
  </si>
  <si>
    <t>AURORA</t>
  </si>
  <si>
    <t>ZÉ FILHO</t>
  </si>
  <si>
    <t>MARIA</t>
  </si>
  <si>
    <t>SUPERMERCADO</t>
  </si>
  <si>
    <t>ELIAS</t>
  </si>
  <si>
    <t>RYAN</t>
  </si>
  <si>
    <t>CAFÉ DA MANHÃ</t>
  </si>
  <si>
    <t>ALMOÇO</t>
  </si>
  <si>
    <t>CAMINHÃO</t>
  </si>
  <si>
    <t xml:space="preserve">TOTAL DIARIO </t>
  </si>
  <si>
    <t>FUNCIONÁRIOS</t>
  </si>
  <si>
    <t>SEMANA 1</t>
  </si>
  <si>
    <t>SEMANA 3</t>
  </si>
  <si>
    <t>SEMANA 4</t>
  </si>
  <si>
    <t>JUNHO</t>
  </si>
  <si>
    <t>TOTAL MENSAL</t>
  </si>
  <si>
    <t>ITENS</t>
  </si>
  <si>
    <t>MÉDIA SEMANAL</t>
  </si>
  <si>
    <t>GASOLINA</t>
  </si>
  <si>
    <t>SEMANA 2</t>
  </si>
  <si>
    <t>LISTA DE FORNECEDORES</t>
  </si>
  <si>
    <t>ADICIONAR LINHA</t>
  </si>
  <si>
    <t>tes</t>
  </si>
  <si>
    <t>sdfsd</t>
  </si>
  <si>
    <t>dfsd</t>
  </si>
  <si>
    <t>dsf</t>
  </si>
  <si>
    <t>VAZIO</t>
  </si>
  <si>
    <t>VALORES</t>
  </si>
  <si>
    <t>SEMANA 5</t>
  </si>
  <si>
    <t>SEMANA5</t>
  </si>
  <si>
    <t>MENSAIS</t>
  </si>
  <si>
    <t>SEMANAIS</t>
  </si>
  <si>
    <t xml:space="preserve">DESCARTAVEIS </t>
  </si>
  <si>
    <t>LIMPEZA</t>
  </si>
  <si>
    <t>ETIQUETAS</t>
  </si>
  <si>
    <t>DATA</t>
  </si>
  <si>
    <t xml:space="preserve">RETIRADA </t>
  </si>
  <si>
    <t xml:space="preserve">MISAEL </t>
  </si>
  <si>
    <t>ANDREYNA</t>
  </si>
  <si>
    <t>RONET</t>
  </si>
  <si>
    <t>FRED</t>
  </si>
  <si>
    <t>GLEIDE</t>
  </si>
  <si>
    <t>CEARÁ</t>
  </si>
  <si>
    <t>DATAS</t>
  </si>
  <si>
    <t xml:space="preserve">NOVEMBRO </t>
  </si>
  <si>
    <t xml:space="preserve">NOVEMBRO  </t>
  </si>
  <si>
    <t>NOVEMBRO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</si>
</sst>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&quot;R$&quot;\ * #,##0.00_-;\-&quot;R$&quot;\ * #,##0.00_-;_-&quot;R$&quot;\ * &quot;-&quot;??_-;_-@_-"/>
    <numFmt numFmtId="164" formatCode="&quot;R$&quot;#,##0.00"/>
    <numFmt numFmtId="165" formatCode="&quot;$&quot;#,##0.00"/>
    <numFmt numFmtId="167" formatCode="&quot;R$&quot;\ #,##0.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4"/>
      <color theme="0"/>
      <name val="Arial Rounded MT Bold"/>
      <family val="2"/>
    </font>
    <font>
      <sz val="11"/>
      <color theme="1"/>
      <name val="Arial Rounded MT Bold"/>
      <family val="2"/>
    </font>
    <font>
      <sz val="18"/>
      <color theme="4" tint="0.79998168889431442"/>
      <name val="Calibri"/>
      <family val="2"/>
      <scheme val="minor"/>
    </font>
    <font>
      <sz val="18"/>
      <color rgb="FFFF5050"/>
      <name val="Calibri"/>
      <family val="2"/>
      <scheme val="minor"/>
    </font>
    <font>
      <sz val="22"/>
      <color rgb="FFFF505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16"/>
      <color rgb="FFFF505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FF505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4" tint="-0.499984740745262"/>
      <name val="Calibri"/>
      <family val="2"/>
      <scheme val="minor"/>
    </font>
    <font>
      <b/>
      <sz val="18"/>
      <color rgb="FFFF5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4" tint="0.79998168889431442"/>
      <name val="Calibri"/>
      <family val="2"/>
      <scheme val="minor"/>
    </font>
    <font>
      <b/>
      <sz val="20"/>
      <color theme="0"/>
      <name val="Arial Rounded MT Bold"/>
      <family val="2"/>
    </font>
    <font>
      <sz val="20"/>
      <color theme="1"/>
      <name val="Arial Rounded MT Bold"/>
      <family val="2"/>
    </font>
    <font>
      <b/>
      <sz val="22"/>
      <color rgb="FFFF0000"/>
      <name val="Calibri"/>
      <family val="2"/>
      <scheme val="minor"/>
    </font>
    <font>
      <b/>
      <sz val="18"/>
      <color rgb="FFEC0304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ck">
        <color theme="4"/>
      </top>
      <bottom/>
      <diagonal/>
    </border>
    <border>
      <left/>
      <right/>
      <top style="medium">
        <color theme="4" tint="0.39997558519241921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0" fillId="0" borderId="1" applyNumberFormat="0" applyFill="0" applyAlignment="0" applyProtection="0"/>
    <xf numFmtId="0" fontId="24" fillId="0" borderId="7" applyNumberFormat="0" applyFill="0" applyAlignment="0" applyProtection="0"/>
  </cellStyleXfs>
  <cellXfs count="96">
    <xf numFmtId="0" fontId="0" fillId="0" borderId="0" xfId="0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5" fillId="3" borderId="0" xfId="0" applyFont="1" applyFill="1"/>
    <xf numFmtId="0" fontId="6" fillId="3" borderId="0" xfId="0" applyFont="1" applyFill="1"/>
    <xf numFmtId="0" fontId="0" fillId="3" borderId="0" xfId="0" applyFill="1" applyAlignment="1">
      <alignment horizontal="left" indent="1"/>
    </xf>
    <xf numFmtId="0" fontId="4" fillId="3" borderId="0" xfId="0" applyFont="1" applyFill="1" applyAlignment="1">
      <alignment horizontal="left" indent="1"/>
    </xf>
    <xf numFmtId="0" fontId="0" fillId="3" borderId="0" xfId="0" applyFill="1" applyAlignment="1"/>
    <xf numFmtId="0" fontId="9" fillId="3" borderId="0" xfId="0" applyFont="1" applyFill="1"/>
    <xf numFmtId="0" fontId="3" fillId="3" borderId="0" xfId="2" applyFont="1" applyFill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14" fillId="3" borderId="0" xfId="0" applyFont="1" applyFill="1"/>
    <xf numFmtId="0" fontId="2" fillId="3" borderId="0" xfId="0" applyFont="1" applyFill="1"/>
    <xf numFmtId="16" fontId="11" fillId="3" borderId="1" xfId="3" applyNumberFormat="1" applyFont="1" applyFill="1" applyAlignment="1">
      <alignment horizontal="center" vertical="center"/>
    </xf>
    <xf numFmtId="0" fontId="11" fillId="3" borderId="1" xfId="3" applyFont="1" applyFill="1" applyAlignment="1">
      <alignment horizontal="center" vertical="center"/>
    </xf>
    <xf numFmtId="2" fontId="17" fillId="3" borderId="0" xfId="0" applyNumberFormat="1" applyFont="1" applyFill="1" applyBorder="1" applyAlignment="1">
      <alignment horizontal="center"/>
    </xf>
    <xf numFmtId="0" fontId="14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4" fillId="3" borderId="0" xfId="0" applyFont="1" applyFill="1" applyAlignment="1">
      <alignment horizontal="left"/>
    </xf>
    <xf numFmtId="2" fontId="14" fillId="3" borderId="0" xfId="0" applyNumberFormat="1" applyFont="1" applyFill="1" applyAlignment="1">
      <alignment horizontal="center"/>
    </xf>
    <xf numFmtId="2" fontId="17" fillId="3" borderId="0" xfId="0" applyNumberFormat="1" applyFont="1" applyFill="1" applyBorder="1" applyAlignment="1">
      <alignment horizontal="center" vertical="center"/>
    </xf>
    <xf numFmtId="164" fontId="15" fillId="3" borderId="0" xfId="0" applyNumberFormat="1" applyFont="1" applyFill="1" applyBorder="1"/>
    <xf numFmtId="0" fontId="19" fillId="4" borderId="0" xfId="0" applyFont="1" applyFill="1" applyAlignment="1">
      <alignment horizontal="right"/>
    </xf>
    <xf numFmtId="0" fontId="16" fillId="6" borderId="0" xfId="0" applyFont="1" applyFill="1" applyAlignment="1">
      <alignment horizontal="left"/>
    </xf>
    <xf numFmtId="0" fontId="21" fillId="5" borderId="2" xfId="0" applyFont="1" applyFill="1" applyBorder="1"/>
    <xf numFmtId="0" fontId="21" fillId="5" borderId="3" xfId="0" applyFont="1" applyFill="1" applyBorder="1"/>
    <xf numFmtId="0" fontId="21" fillId="5" borderId="4" xfId="0" applyFont="1" applyFill="1" applyBorder="1"/>
    <xf numFmtId="0" fontId="21" fillId="5" borderId="3" xfId="0" applyFont="1" applyFill="1" applyBorder="1" applyAlignment="1">
      <alignment horizontal="left"/>
    </xf>
    <xf numFmtId="0" fontId="21" fillId="5" borderId="5" xfId="0" applyFont="1" applyFill="1" applyBorder="1"/>
    <xf numFmtId="0" fontId="21" fillId="5" borderId="6" xfId="0" applyFont="1" applyFill="1" applyBorder="1"/>
    <xf numFmtId="0" fontId="16" fillId="3" borderId="0" xfId="0" applyFont="1" applyFill="1"/>
    <xf numFmtId="165" fontId="20" fillId="3" borderId="0" xfId="2" applyNumberFormat="1" applyFont="1" applyFill="1" applyAlignment="1">
      <alignment horizontal="left" vertical="center"/>
    </xf>
    <xf numFmtId="0" fontId="16" fillId="5" borderId="0" xfId="0" applyFont="1" applyFill="1" applyAlignment="1">
      <alignment horizontal="left"/>
    </xf>
    <xf numFmtId="0" fontId="22" fillId="3" borderId="0" xfId="0" applyFont="1" applyFill="1" applyBorder="1" applyAlignment="1">
      <alignment horizontal="center"/>
    </xf>
    <xf numFmtId="0" fontId="23" fillId="3" borderId="0" xfId="0" applyFont="1" applyFill="1"/>
    <xf numFmtId="0" fontId="11" fillId="3" borderId="1" xfId="3" applyFont="1" applyFill="1" applyAlignment="1">
      <alignment horizontal="center" vertical="center"/>
    </xf>
    <xf numFmtId="0" fontId="3" fillId="3" borderId="0" xfId="2" applyFont="1" applyFill="1" applyAlignment="1">
      <alignment vertical="center"/>
    </xf>
    <xf numFmtId="0" fontId="11" fillId="3" borderId="1" xfId="3" applyFont="1" applyFill="1" applyAlignment="1">
      <alignment horizontal="center" vertical="center"/>
    </xf>
    <xf numFmtId="0" fontId="14" fillId="3" borderId="0" xfId="0" applyFont="1" applyFill="1" applyBorder="1" applyAlignment="1">
      <alignment horizontal="left"/>
    </xf>
    <xf numFmtId="0" fontId="14" fillId="3" borderId="1" xfId="3" applyFont="1" applyFill="1" applyAlignment="1">
      <alignment vertical="center"/>
    </xf>
    <xf numFmtId="0" fontId="16" fillId="3" borderId="0" xfId="0" applyFont="1" applyFill="1" applyBorder="1" applyAlignment="1">
      <alignment horizontal="left"/>
    </xf>
    <xf numFmtId="16" fontId="16" fillId="3" borderId="0" xfId="0" applyNumberFormat="1" applyFont="1" applyFill="1" applyBorder="1" applyAlignment="1">
      <alignment horizontal="left"/>
    </xf>
    <xf numFmtId="0" fontId="0" fillId="3" borderId="0" xfId="0" applyFill="1"/>
    <xf numFmtId="44" fontId="13" fillId="3" borderId="7" xfId="4" applyNumberFormat="1" applyFont="1" applyFill="1" applyAlignment="1">
      <alignment horizontal="center" vertical="center" wrapText="1"/>
    </xf>
    <xf numFmtId="0" fontId="24" fillId="3" borderId="7" xfId="4" applyFill="1"/>
    <xf numFmtId="44" fontId="15" fillId="3" borderId="7" xfId="4" applyNumberFormat="1" applyFont="1" applyFill="1" applyAlignment="1">
      <alignment horizontal="center" vertical="center" wrapText="1"/>
    </xf>
    <xf numFmtId="0" fontId="15" fillId="3" borderId="7" xfId="4" applyFont="1" applyFill="1"/>
    <xf numFmtId="0" fontId="15" fillId="3" borderId="7" xfId="4" applyFont="1" applyFill="1" applyAlignment="1">
      <alignment horizontal="left" vertical="top"/>
    </xf>
    <xf numFmtId="165" fontId="15" fillId="3" borderId="7" xfId="4" applyNumberFormat="1" applyFont="1" applyFill="1" applyAlignment="1">
      <alignment horizontal="center" vertical="center"/>
    </xf>
    <xf numFmtId="0" fontId="25" fillId="3" borderId="0" xfId="0" applyFont="1" applyFill="1"/>
    <xf numFmtId="0" fontId="25" fillId="3" borderId="0" xfId="0" applyFont="1" applyFill="1" applyAlignment="1">
      <alignment horizontal="center"/>
    </xf>
    <xf numFmtId="0" fontId="27" fillId="3" borderId="0" xfId="0" applyFont="1" applyFill="1" applyAlignment="1">
      <alignment horizontal="left" vertical="top"/>
    </xf>
    <xf numFmtId="0" fontId="28" fillId="3" borderId="0" xfId="0" applyFont="1" applyFill="1" applyAlignment="1">
      <alignment horizontal="left" vertical="top"/>
    </xf>
    <xf numFmtId="0" fontId="4" fillId="3" borderId="0" xfId="0" applyFont="1" applyFill="1" applyAlignment="1">
      <alignment horizontal="center"/>
    </xf>
    <xf numFmtId="0" fontId="26" fillId="3" borderId="0" xfId="0" applyFont="1" applyFill="1" applyAlignment="1">
      <alignment horizontal="center" vertical="center"/>
    </xf>
    <xf numFmtId="44" fontId="7" fillId="3" borderId="0" xfId="1" applyFont="1" applyFill="1" applyAlignment="1">
      <alignment horizontal="left" vertical="center"/>
    </xf>
    <xf numFmtId="165" fontId="8" fillId="3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 applyAlignment="1">
      <alignment horizontal="right"/>
    </xf>
    <xf numFmtId="0" fontId="15" fillId="3" borderId="7" xfId="4" applyFont="1" applyFill="1" applyAlignment="1">
      <alignment horizontal="left" vertical="center"/>
    </xf>
    <xf numFmtId="165" fontId="15" fillId="3" borderId="7" xfId="4" applyNumberFormat="1" applyFont="1" applyFill="1" applyAlignment="1">
      <alignment horizontal="center" vertical="center"/>
    </xf>
    <xf numFmtId="0" fontId="15" fillId="3" borderId="7" xfId="4" applyFont="1" applyFill="1" applyAlignment="1">
      <alignment horizontal="center" vertical="center"/>
    </xf>
    <xf numFmtId="0" fontId="14" fillId="3" borderId="1" xfId="3" applyFont="1" applyFill="1" applyAlignment="1">
      <alignment horizontal="center" vertical="center"/>
    </xf>
    <xf numFmtId="44" fontId="14" fillId="3" borderId="0" xfId="1" applyFont="1" applyFill="1" applyBorder="1" applyAlignment="1">
      <alignment horizontal="center" vertical="center"/>
    </xf>
    <xf numFmtId="0" fontId="11" fillId="3" borderId="1" xfId="3" applyFont="1" applyFill="1" applyAlignment="1">
      <alignment horizontal="center" vertical="center"/>
    </xf>
    <xf numFmtId="165" fontId="14" fillId="3" borderId="0" xfId="1" applyNumberFormat="1" applyFont="1" applyFill="1" applyBorder="1" applyAlignment="1">
      <alignment horizontal="center" vertical="center"/>
    </xf>
    <xf numFmtId="0" fontId="0" fillId="3" borderId="0" xfId="0" applyFill="1"/>
    <xf numFmtId="0" fontId="14" fillId="3" borderId="0" xfId="0" applyFont="1" applyFill="1" applyBorder="1" applyAlignment="1">
      <alignment horizontal="left"/>
    </xf>
    <xf numFmtId="0" fontId="11" fillId="3" borderId="1" xfId="3" applyFont="1" applyFill="1" applyAlignment="1">
      <alignment horizontal="center" vertical="center" wrapText="1"/>
    </xf>
    <xf numFmtId="44" fontId="24" fillId="3" borderId="7" xfId="4" applyNumberFormat="1" applyFill="1" applyAlignment="1">
      <alignment vertical="center" wrapText="1"/>
    </xf>
    <xf numFmtId="0" fontId="3" fillId="3" borderId="0" xfId="2" applyFont="1" applyFill="1" applyAlignment="1">
      <alignment horizontal="center" vertical="center"/>
    </xf>
    <xf numFmtId="44" fontId="20" fillId="3" borderId="0" xfId="1" applyFont="1" applyFill="1" applyAlignment="1">
      <alignment horizontal="center" vertical="center"/>
    </xf>
    <xf numFmtId="44" fontId="15" fillId="3" borderId="9" xfId="4" applyNumberFormat="1" applyFont="1" applyFill="1" applyBorder="1" applyAlignment="1">
      <alignment horizontal="center" vertical="center" wrapText="1"/>
    </xf>
    <xf numFmtId="44" fontId="15" fillId="3" borderId="0" xfId="4" applyNumberFormat="1" applyFont="1" applyFill="1" applyBorder="1" applyAlignment="1">
      <alignment horizontal="center" vertical="center" wrapText="1"/>
    </xf>
    <xf numFmtId="44" fontId="15" fillId="3" borderId="7" xfId="4" applyNumberFormat="1" applyFont="1" applyFill="1" applyAlignment="1">
      <alignment horizontal="center" vertical="center" wrapText="1"/>
    </xf>
    <xf numFmtId="44" fontId="15" fillId="3" borderId="8" xfId="4" applyNumberFormat="1" applyFont="1" applyFill="1" applyBorder="1" applyAlignment="1">
      <alignment horizontal="center" vertical="center" wrapText="1"/>
    </xf>
    <xf numFmtId="44" fontId="15" fillId="3" borderId="7" xfId="4" applyNumberFormat="1" applyFont="1" applyFill="1" applyAlignment="1">
      <alignment vertical="center" wrapText="1"/>
    </xf>
    <xf numFmtId="44" fontId="13" fillId="3" borderId="7" xfId="4" applyNumberFormat="1" applyFont="1" applyFill="1" applyAlignment="1">
      <alignment horizontal="center" vertical="center" wrapText="1"/>
    </xf>
    <xf numFmtId="0" fontId="15" fillId="3" borderId="0" xfId="0" applyFont="1" applyFill="1" applyBorder="1"/>
    <xf numFmtId="0" fontId="15" fillId="3" borderId="0" xfId="0" applyFont="1" applyFill="1" applyBorder="1" applyAlignment="1">
      <alignment horizontal="left"/>
    </xf>
    <xf numFmtId="0" fontId="16" fillId="3" borderId="0" xfId="0" applyFont="1" applyFill="1" applyBorder="1"/>
    <xf numFmtId="165" fontId="12" fillId="3" borderId="0" xfId="1" applyNumberFormat="1" applyFont="1" applyFill="1"/>
    <xf numFmtId="165" fontId="12" fillId="3" borderId="0" xfId="0" applyNumberFormat="1" applyFont="1" applyFill="1" applyAlignment="1">
      <alignment vertical="top"/>
    </xf>
    <xf numFmtId="165" fontId="17" fillId="3" borderId="0" xfId="0" applyNumberFormat="1" applyFont="1" applyFill="1" applyBorder="1" applyAlignment="1">
      <alignment horizontal="left"/>
    </xf>
    <xf numFmtId="16" fontId="15" fillId="3" borderId="1" xfId="3" applyNumberFormat="1" applyFont="1" applyFill="1" applyAlignment="1">
      <alignment horizontal="center" vertical="center"/>
    </xf>
    <xf numFmtId="164" fontId="15" fillId="3" borderId="0" xfId="0" applyNumberFormat="1" applyFont="1" applyFill="1" applyBorder="1" applyAlignment="1">
      <alignment horizontal="center"/>
    </xf>
    <xf numFmtId="0" fontId="16" fillId="3" borderId="7" xfId="4" applyNumberFormat="1" applyFont="1" applyFill="1" applyAlignment="1">
      <alignment horizontal="center" vertical="center" wrapText="1"/>
    </xf>
    <xf numFmtId="0" fontId="15" fillId="3" borderId="7" xfId="4" applyNumberFormat="1" applyFont="1" applyFill="1" applyAlignment="1">
      <alignment horizontal="center" vertical="center" wrapText="1"/>
    </xf>
    <xf numFmtId="0" fontId="24" fillId="3" borderId="7" xfId="4" applyNumberFormat="1" applyFill="1" applyAlignment="1">
      <alignment horizontal="center" vertical="center" wrapText="1"/>
    </xf>
    <xf numFmtId="16" fontId="16" fillId="3" borderId="7" xfId="4" applyNumberFormat="1" applyFont="1" applyFill="1" applyAlignment="1">
      <alignment horizontal="center" vertical="center" wrapText="1"/>
    </xf>
    <xf numFmtId="0" fontId="13" fillId="3" borderId="7" xfId="4" applyNumberFormat="1" applyFont="1" applyFill="1" applyAlignment="1">
      <alignment horizontal="center" vertical="center" wrapText="1"/>
    </xf>
    <xf numFmtId="16" fontId="13" fillId="3" borderId="7" xfId="4" applyNumberFormat="1" applyFont="1" applyFill="1" applyAlignment="1">
      <alignment horizontal="center" vertical="center" wrapText="1"/>
    </xf>
    <xf numFmtId="165" fontId="29" fillId="3" borderId="0" xfId="0" applyNumberFormat="1" applyFont="1" applyFill="1" applyAlignment="1">
      <alignment horizontal="center"/>
    </xf>
    <xf numFmtId="167" fontId="20" fillId="3" borderId="0" xfId="1" applyNumberFormat="1" applyFont="1" applyFill="1" applyAlignment="1">
      <alignment horizontal="center" vertical="center"/>
    </xf>
    <xf numFmtId="167" fontId="30" fillId="3" borderId="0" xfId="1" applyNumberFormat="1" applyFont="1" applyFill="1" applyAlignment="1">
      <alignment horizontal="center" vertical="center"/>
    </xf>
  </cellXfs>
  <cellStyles count="5">
    <cellStyle name="40% - Ênfase1" xfId="2" builtinId="31"/>
    <cellStyle name="Moeda" xfId="1" builtinId="4"/>
    <cellStyle name="Normal" xfId="0" builtinId="0"/>
    <cellStyle name="Título 1" xfId="3" builtinId="16"/>
    <cellStyle name="Título 3" xfId="4" builtinId="18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04F4A6D8-D452-4C88-84F7-7AC2774B686F}"/>
  </tableStyles>
  <colors>
    <mruColors>
      <color rgb="FFEC0304"/>
      <color rgb="FFFF5050"/>
      <color rgb="FF6E99F0"/>
      <color rgb="FFC605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/>
              <a:t>geral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D5D-4A2F-8B7A-339D64F1E4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D5D-4A2F-8B7A-339D64F1E4D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D5D-4A2F-8B7A-339D64F1E4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D5D-4A2F-8B7A-339D64F1E4D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D5D-4A2F-8B7A-339D64F1E4D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D5D-4A2F-8B7A-339D64F1E4D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6D5D-4A2F-8B7A-339D64F1E4D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6D5D-4A2F-8B7A-339D64F1E4D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6D5D-4A2F-8B7A-339D64F1E4D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6D5D-4A2F-8B7A-339D64F1E4D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6D5D-4A2F-8B7A-339D64F1E4D0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6D5D-4A2F-8B7A-339D64F1E4D0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6D5D-4A2F-8B7A-339D64F1E4D0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6D5D-4A2F-8B7A-339D64F1E4D0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6D5D-4A2F-8B7A-339D64F1E4D0}"/>
              </c:ext>
            </c:extLst>
          </c:dPt>
          <c:dLbls>
            <c:dLbl>
              <c:idx val="0"/>
              <c:layout>
                <c:manualLayout>
                  <c:x val="-0.35833333333333334"/>
                  <c:y val="0.6296296296296296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D5D-4A2F-8B7A-339D64F1E4D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6D5D-4A2F-8B7A-339D64F1E4D0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6D5D-4A2F-8B7A-339D64F1E4D0}"/>
                </c:ext>
              </c:extLst>
            </c:dLbl>
            <c:dLbl>
              <c:idx val="3"/>
              <c:layout>
                <c:manualLayout>
                  <c:x val="2.2222222222222223E-2"/>
                  <c:y val="-4.629629629629629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D5D-4A2F-8B7A-339D64F1E4D0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6D5D-4A2F-8B7A-339D64F1E4D0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6D5D-4A2F-8B7A-339D64F1E4D0}"/>
                </c:ext>
              </c:extLst>
            </c:dLbl>
            <c:dLbl>
              <c:idx val="6"/>
              <c:layout>
                <c:manualLayout>
                  <c:x val="-0.31111111111111112"/>
                  <c:y val="0.291666666666666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D5D-4A2F-8B7A-339D64F1E4D0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6D5D-4A2F-8B7A-339D64F1E4D0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1-6D5D-4A2F-8B7A-339D64F1E4D0}"/>
                </c:ext>
              </c:extLst>
            </c:dLbl>
            <c:dLbl>
              <c:idx val="9"/>
              <c:layout>
                <c:manualLayout>
                  <c:x val="-0.34722222222222221"/>
                  <c:y val="0.4768518518518518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D5D-4A2F-8B7A-339D64F1E4D0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5-6D5D-4A2F-8B7A-339D64F1E4D0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7-6D5D-4A2F-8B7A-339D64F1E4D0}"/>
                </c:ext>
              </c:extLst>
            </c:dLbl>
            <c:dLbl>
              <c:idx val="12"/>
              <c:layout>
                <c:manualLayout>
                  <c:x val="-0.3527777777777778"/>
                  <c:y val="3.24074074074074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668044619422574"/>
                      <c:h val="0.1268981481481481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9-6D5D-4A2F-8B7A-339D64F1E4D0}"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B-6D5D-4A2F-8B7A-339D64F1E4D0}"/>
                </c:ext>
              </c:extLst>
            </c:dLbl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D-6D5D-4A2F-8B7A-339D64F1E4D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Geral!$E$11:$S$11</c:f>
              <c:strCache>
                <c:ptCount val="13"/>
                <c:pt idx="0">
                  <c:v>MENSAIS</c:v>
                </c:pt>
                <c:pt idx="3">
                  <c:v>SEMANAIS</c:v>
                </c:pt>
                <c:pt idx="6">
                  <c:v>FUNCIONARIOS</c:v>
                </c:pt>
                <c:pt idx="9">
                  <c:v>CLIENTES</c:v>
                </c:pt>
                <c:pt idx="12">
                  <c:v>FORNECEDORES</c:v>
                </c:pt>
              </c:strCache>
            </c:strRef>
          </c:cat>
          <c:val>
            <c:numRef>
              <c:f>Geral!$E$12:$S$12</c:f>
              <c:numCache>
                <c:formatCode>"R$"\ #,##0.00</c:formatCode>
                <c:ptCount val="15"/>
                <c:pt idx="0">
                  <c:v>1000</c:v>
                </c:pt>
                <c:pt idx="3">
                  <c:v>72</c:v>
                </c:pt>
                <c:pt idx="6">
                  <c:v>1800</c:v>
                </c:pt>
                <c:pt idx="9">
                  <c:v>250</c:v>
                </c:pt>
                <c:pt idx="12">
                  <c:v>1550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6D5D-4A2F-8B7A-339D64F1E4D0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0-6D5D-4A2F-8B7A-339D64F1E4D0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2-6D5D-4A2F-8B7A-339D64F1E4D0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4-6D5D-4A2F-8B7A-339D64F1E4D0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6-6D5D-4A2F-8B7A-339D64F1E4D0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8-6D5D-4A2F-8B7A-339D64F1E4D0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A-6D5D-4A2F-8B7A-339D64F1E4D0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C-6D5D-4A2F-8B7A-339D64F1E4D0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2">
                        <a:lumMod val="60000"/>
                      </a:schemeClr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E-6D5D-4A2F-8B7A-339D64F1E4D0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3">
                        <a:lumMod val="60000"/>
                      </a:schemeClr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0-6D5D-4A2F-8B7A-339D64F1E4D0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4">
                        <a:lumMod val="60000"/>
                      </a:schemeClr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2-6D5D-4A2F-8B7A-339D64F1E4D0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5">
                        <a:lumMod val="60000"/>
                      </a:schemeClr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4-6D5D-4A2F-8B7A-339D64F1E4D0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6">
                        <a:lumMod val="60000"/>
                      </a:schemeClr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6-6D5D-4A2F-8B7A-339D64F1E4D0}"/>
                    </c:ext>
                  </c:extLst>
                </c:dPt>
                <c:dPt>
                  <c:idx val="12"/>
                  <c:bubble3D val="0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8-6D5D-4A2F-8B7A-339D64F1E4D0}"/>
                    </c:ext>
                  </c:extLst>
                </c:dPt>
                <c:dPt>
                  <c:idx val="13"/>
                  <c:bubble3D val="0"/>
                  <c:spPr>
                    <a:solidFill>
                      <a:schemeClr val="accent2">
                        <a:lumMod val="80000"/>
                        <a:lumOff val="20000"/>
                      </a:schemeClr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A-6D5D-4A2F-8B7A-339D64F1E4D0}"/>
                    </c:ext>
                  </c:extLst>
                </c:dPt>
                <c:dPt>
                  <c:idx val="14"/>
                  <c:bubble3D val="0"/>
                  <c:spPr>
                    <a:solidFill>
                      <a:schemeClr val="accent3">
                        <a:lumMod val="80000"/>
                        <a:lumOff val="20000"/>
                      </a:schemeClr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C-6D5D-4A2F-8B7A-339D64F1E4D0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20-6D5D-4A2F-8B7A-339D64F1E4D0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22-6D5D-4A2F-8B7A-339D64F1E4D0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24-6D5D-4A2F-8B7A-339D64F1E4D0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26-6D5D-4A2F-8B7A-339D64F1E4D0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28-6D5D-4A2F-8B7A-339D64F1E4D0}"/>
                      </c:ext>
                    </c:extLst>
                  </c:dLbl>
                  <c:dLbl>
                    <c:idx val="5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6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2A-6D5D-4A2F-8B7A-339D64F1E4D0}"/>
                      </c:ext>
                    </c:extLst>
                  </c:dLbl>
                  <c:dLbl>
                    <c:idx val="6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2C-6D5D-4A2F-8B7A-339D64F1E4D0}"/>
                      </c:ext>
                    </c:extLst>
                  </c:dLbl>
                  <c:dLbl>
                    <c:idx val="7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2E-6D5D-4A2F-8B7A-339D64F1E4D0}"/>
                      </c:ext>
                    </c:extLst>
                  </c:dLbl>
                  <c:dLbl>
                    <c:idx val="8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30-6D5D-4A2F-8B7A-339D64F1E4D0}"/>
                      </c:ext>
                    </c:extLst>
                  </c:dLbl>
                  <c:dLbl>
                    <c:idx val="9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32-6D5D-4A2F-8B7A-339D64F1E4D0}"/>
                      </c:ext>
                    </c:extLst>
                  </c:dLbl>
                  <c:dLbl>
                    <c:idx val="1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34-6D5D-4A2F-8B7A-339D64F1E4D0}"/>
                      </c:ext>
                    </c:extLst>
                  </c:dLbl>
                  <c:dLbl>
                    <c:idx val="1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6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36-6D5D-4A2F-8B7A-339D64F1E4D0}"/>
                      </c:ext>
                    </c:extLst>
                  </c:dLbl>
                  <c:dLbl>
                    <c:idx val="1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>
                                <a:lumMod val="80000"/>
                                <a:lumOff val="2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38-6D5D-4A2F-8B7A-339D64F1E4D0}"/>
                      </c:ext>
                    </c:extLst>
                  </c:dLbl>
                  <c:dLbl>
                    <c:idx val="1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>
                                <a:lumMod val="80000"/>
                                <a:lumOff val="2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3A-6D5D-4A2F-8B7A-339D64F1E4D0}"/>
                      </c:ext>
                    </c:extLst>
                  </c:dLbl>
                  <c:dLbl>
                    <c:idx val="1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80000"/>
                                <a:lumOff val="2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3C-6D5D-4A2F-8B7A-339D64F1E4D0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Geral!$E$11:$S$11</c15:sqref>
                        </c15:formulaRef>
                      </c:ext>
                    </c:extLst>
                    <c:strCache>
                      <c:ptCount val="13"/>
                      <c:pt idx="0">
                        <c:v>MENSAIS</c:v>
                      </c:pt>
                      <c:pt idx="3">
                        <c:v>SEMANAIS</c:v>
                      </c:pt>
                      <c:pt idx="6">
                        <c:v>FUNCIONARIOS</c:v>
                      </c:pt>
                      <c:pt idx="9">
                        <c:v>CLIENTES</c:v>
                      </c:pt>
                      <c:pt idx="12">
                        <c:v>FORNECEDORES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Geral!$E$13:$S$13</c15:sqref>
                        </c15:formulaRef>
                      </c:ext>
                    </c:extLst>
                    <c:numCache>
                      <c:formatCode>"R$"\ #,##0.00</c:formatCode>
                      <c:ptCount val="1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3D-6D5D-4A2F-8B7A-339D64F1E4D0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b="1"/>
              <a:t>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Fixos!$E$10:$E$24</c:f>
              <c:strCache>
                <c:ptCount val="13"/>
                <c:pt idx="0">
                  <c:v>ENERGIA</c:v>
                </c:pt>
                <c:pt idx="2">
                  <c:v>ÁGUA</c:v>
                </c:pt>
                <c:pt idx="4">
                  <c:v>INTERNET</c:v>
                </c:pt>
                <c:pt idx="6">
                  <c:v>OUTROS</c:v>
                </c:pt>
                <c:pt idx="8">
                  <c:v>VAZIO</c:v>
                </c:pt>
                <c:pt idx="10">
                  <c:v>VAZIO</c:v>
                </c:pt>
                <c:pt idx="12">
                  <c:v>VAZIO</c:v>
                </c:pt>
              </c:strCache>
            </c:strRef>
          </c:cat>
          <c:val>
            <c:numRef>
              <c:f>Fixos!$K$10:$K$24</c:f>
              <c:numCache>
                <c:formatCode>"$"#,##0.00</c:formatCode>
                <c:ptCount val="15"/>
                <c:pt idx="0">
                  <c:v>700</c:v>
                </c:pt>
                <c:pt idx="2">
                  <c:v>100</c:v>
                </c:pt>
                <c:pt idx="4">
                  <c:v>200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61-4315-92D7-F1A84247E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45754272"/>
        <c:axId val="54575635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Fixos!$E$10:$E$24</c15:sqref>
                        </c15:formulaRef>
                      </c:ext>
                    </c:extLst>
                    <c:strCache>
                      <c:ptCount val="13"/>
                      <c:pt idx="0">
                        <c:v>ENERGIA</c:v>
                      </c:pt>
                      <c:pt idx="2">
                        <c:v>ÁGUA</c:v>
                      </c:pt>
                      <c:pt idx="4">
                        <c:v>INTERNET</c:v>
                      </c:pt>
                      <c:pt idx="6">
                        <c:v>OUTROS</c:v>
                      </c:pt>
                      <c:pt idx="8">
                        <c:v>VAZIO</c:v>
                      </c:pt>
                      <c:pt idx="10">
                        <c:v>VAZIO</c:v>
                      </c:pt>
                      <c:pt idx="12">
                        <c:v>VAZIO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Fixos!$F$10:$F$24</c15:sqref>
                        </c15:formulaRef>
                      </c:ext>
                    </c:extLst>
                    <c:numCache>
                      <c:formatCode>General</c:formatCode>
                      <c:ptCount val="1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7061-4315-92D7-F1A84247E410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Fixos!$E$10:$E$24</c15:sqref>
                        </c15:formulaRef>
                      </c:ext>
                    </c:extLst>
                    <c:strCache>
                      <c:ptCount val="13"/>
                      <c:pt idx="0">
                        <c:v>ENERGIA</c:v>
                      </c:pt>
                      <c:pt idx="2">
                        <c:v>ÁGUA</c:v>
                      </c:pt>
                      <c:pt idx="4">
                        <c:v>INTERNET</c:v>
                      </c:pt>
                      <c:pt idx="6">
                        <c:v>OUTROS</c:v>
                      </c:pt>
                      <c:pt idx="8">
                        <c:v>VAZIO</c:v>
                      </c:pt>
                      <c:pt idx="10">
                        <c:v>VAZIO</c:v>
                      </c:pt>
                      <c:pt idx="12">
                        <c:v>VAZIO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Fixos!$G$10:$G$24</c15:sqref>
                        </c15:formulaRef>
                      </c:ext>
                    </c:extLst>
                    <c:numCache>
                      <c:formatCode>General</c:formatCode>
                      <c:ptCount val="1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061-4315-92D7-F1A84247E410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Fixos!$E$10:$E$24</c15:sqref>
                        </c15:formulaRef>
                      </c:ext>
                    </c:extLst>
                    <c:strCache>
                      <c:ptCount val="13"/>
                      <c:pt idx="0">
                        <c:v>ENERGIA</c:v>
                      </c:pt>
                      <c:pt idx="2">
                        <c:v>ÁGUA</c:v>
                      </c:pt>
                      <c:pt idx="4">
                        <c:v>INTERNET</c:v>
                      </c:pt>
                      <c:pt idx="6">
                        <c:v>OUTROS</c:v>
                      </c:pt>
                      <c:pt idx="8">
                        <c:v>VAZIO</c:v>
                      </c:pt>
                      <c:pt idx="10">
                        <c:v>VAZIO</c:v>
                      </c:pt>
                      <c:pt idx="12">
                        <c:v>VAZIO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Fixos!$H$10:$H$24</c15:sqref>
                        </c15:formulaRef>
                      </c:ext>
                    </c:extLst>
                    <c:numCache>
                      <c:formatCode>General</c:formatCode>
                      <c:ptCount val="1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061-4315-92D7-F1A84247E410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Fixos!$E$10:$E$24</c15:sqref>
                        </c15:formulaRef>
                      </c:ext>
                    </c:extLst>
                    <c:strCache>
                      <c:ptCount val="13"/>
                      <c:pt idx="0">
                        <c:v>ENERGIA</c:v>
                      </c:pt>
                      <c:pt idx="2">
                        <c:v>ÁGUA</c:v>
                      </c:pt>
                      <c:pt idx="4">
                        <c:v>INTERNET</c:v>
                      </c:pt>
                      <c:pt idx="6">
                        <c:v>OUTROS</c:v>
                      </c:pt>
                      <c:pt idx="8">
                        <c:v>VAZIO</c:v>
                      </c:pt>
                      <c:pt idx="10">
                        <c:v>VAZIO</c:v>
                      </c:pt>
                      <c:pt idx="12">
                        <c:v>VAZIO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Fixos!$I$10:$I$24</c15:sqref>
                        </c15:formulaRef>
                      </c:ext>
                    </c:extLst>
                    <c:numCache>
                      <c:formatCode>General</c:formatCode>
                      <c:ptCount val="1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061-4315-92D7-F1A84247E410}"/>
                  </c:ext>
                </c:extLst>
              </c15:ser>
            </c15:filteredBarSeries>
            <c15:filteredBarSeries>
              <c15:ser>
                <c:idx val="4"/>
                <c:order val="4"/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Fixos!$E$10:$E$24</c15:sqref>
                        </c15:formulaRef>
                      </c:ext>
                    </c:extLst>
                    <c:strCache>
                      <c:ptCount val="13"/>
                      <c:pt idx="0">
                        <c:v>ENERGIA</c:v>
                      </c:pt>
                      <c:pt idx="2">
                        <c:v>ÁGUA</c:v>
                      </c:pt>
                      <c:pt idx="4">
                        <c:v>INTERNET</c:v>
                      </c:pt>
                      <c:pt idx="6">
                        <c:v>OUTROS</c:v>
                      </c:pt>
                      <c:pt idx="8">
                        <c:v>VAZIO</c:v>
                      </c:pt>
                      <c:pt idx="10">
                        <c:v>VAZIO</c:v>
                      </c:pt>
                      <c:pt idx="12">
                        <c:v>VAZIO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Fixos!$J$10:$J$24</c15:sqref>
                        </c15:formulaRef>
                      </c:ext>
                    </c:extLst>
                    <c:numCache>
                      <c:formatCode>General</c:formatCode>
                      <c:ptCount val="1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061-4315-92D7-F1A84247E410}"/>
                  </c:ext>
                </c:extLst>
              </c15:ser>
            </c15:filteredBarSeries>
            <c15:filteredBarSeries>
              <c15:ser>
                <c:idx val="6"/>
                <c:order val="6"/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Fixos!$E$10:$E$24</c15:sqref>
                        </c15:formulaRef>
                      </c:ext>
                    </c:extLst>
                    <c:strCache>
                      <c:ptCount val="13"/>
                      <c:pt idx="0">
                        <c:v>ENERGIA</c:v>
                      </c:pt>
                      <c:pt idx="2">
                        <c:v>ÁGUA</c:v>
                      </c:pt>
                      <c:pt idx="4">
                        <c:v>INTERNET</c:v>
                      </c:pt>
                      <c:pt idx="6">
                        <c:v>OUTROS</c:v>
                      </c:pt>
                      <c:pt idx="8">
                        <c:v>VAZIO</c:v>
                      </c:pt>
                      <c:pt idx="10">
                        <c:v>VAZIO</c:v>
                      </c:pt>
                      <c:pt idx="12">
                        <c:v>VAZIO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Fixos!$L$10:$L$24</c15:sqref>
                        </c15:formulaRef>
                      </c:ext>
                    </c:extLst>
                    <c:numCache>
                      <c:formatCode>"$"#,##0.00</c:formatCode>
                      <c:ptCount val="1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061-4315-92D7-F1A84247E410}"/>
                  </c:ext>
                </c:extLst>
              </c15:ser>
            </c15:filteredBarSeries>
          </c:ext>
        </c:extLst>
      </c:barChart>
      <c:catAx>
        <c:axId val="545754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5756352"/>
        <c:crosses val="autoZero"/>
        <c:auto val="1"/>
        <c:lblAlgn val="ctr"/>
        <c:lblOffset val="100"/>
        <c:noMultiLvlLbl val="0"/>
      </c:catAx>
      <c:valAx>
        <c:axId val="54575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575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b="1"/>
              <a:t>PAGAMENTOS DOS FUNCIONÁRIOS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Funcionario!$F$10</c:f>
              <c:strCache>
                <c:ptCount val="1"/>
                <c:pt idx="0">
                  <c:v>SEMANA 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Funcionario!$D$11:$D$24</c:f>
              <c:strCache>
                <c:ptCount val="6"/>
                <c:pt idx="0">
                  <c:v>LUÍS</c:v>
                </c:pt>
                <c:pt idx="1">
                  <c:v>SILANDIA</c:v>
                </c:pt>
                <c:pt idx="2">
                  <c:v>ZÉ LUÍS</c:v>
                </c:pt>
                <c:pt idx="3">
                  <c:v>ZÉ </c:v>
                </c:pt>
                <c:pt idx="4">
                  <c:v>CONTADOR</c:v>
                </c:pt>
                <c:pt idx="5">
                  <c:v>ANDREYNA </c:v>
                </c:pt>
              </c:strCache>
            </c:strRef>
          </c:cat>
          <c:val>
            <c:numRef>
              <c:f>Funcionario!$F$11:$F$24</c:f>
              <c:numCache>
                <c:formatCode>_("R$"* #,##0.00_);_("R$"* \(#,##0.00\);_("R$"* "-"??_);_(@_)</c:formatCode>
                <c:ptCount val="14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E4-404F-ADE4-6178728F9A35}"/>
            </c:ext>
          </c:extLst>
        </c:ser>
        <c:ser>
          <c:idx val="3"/>
          <c:order val="3"/>
          <c:tx>
            <c:strRef>
              <c:f>Funcionario!$H$10</c:f>
              <c:strCache>
                <c:ptCount val="1"/>
                <c:pt idx="0">
                  <c:v>SEMANA 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Funcionario!$D$11:$D$24</c:f>
              <c:strCache>
                <c:ptCount val="6"/>
                <c:pt idx="0">
                  <c:v>LUÍS</c:v>
                </c:pt>
                <c:pt idx="1">
                  <c:v>SILANDIA</c:v>
                </c:pt>
                <c:pt idx="2">
                  <c:v>ZÉ LUÍS</c:v>
                </c:pt>
                <c:pt idx="3">
                  <c:v>ZÉ </c:v>
                </c:pt>
                <c:pt idx="4">
                  <c:v>CONTADOR</c:v>
                </c:pt>
                <c:pt idx="5">
                  <c:v>ANDREYNA </c:v>
                </c:pt>
              </c:strCache>
            </c:strRef>
          </c:cat>
          <c:val>
            <c:numRef>
              <c:f>Funcionario!$H$11:$H$24</c:f>
              <c:numCache>
                <c:formatCode>_("R$"* #,##0.00_);_("R$"* \(#,##0.00\);_("R$"* "-"??_);_(@_)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E4-404F-ADE4-6178728F9A35}"/>
            </c:ext>
          </c:extLst>
        </c:ser>
        <c:ser>
          <c:idx val="5"/>
          <c:order val="5"/>
          <c:tx>
            <c:strRef>
              <c:f>Funcionario!$J$10</c:f>
              <c:strCache>
                <c:ptCount val="1"/>
                <c:pt idx="0">
                  <c:v>SEMANA 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Funcionario!$D$11:$D$24</c:f>
              <c:strCache>
                <c:ptCount val="6"/>
                <c:pt idx="0">
                  <c:v>LUÍS</c:v>
                </c:pt>
                <c:pt idx="1">
                  <c:v>SILANDIA</c:v>
                </c:pt>
                <c:pt idx="2">
                  <c:v>ZÉ LUÍS</c:v>
                </c:pt>
                <c:pt idx="3">
                  <c:v>ZÉ </c:v>
                </c:pt>
                <c:pt idx="4">
                  <c:v>CONTADOR</c:v>
                </c:pt>
                <c:pt idx="5">
                  <c:v>ANDREYNA </c:v>
                </c:pt>
              </c:strCache>
            </c:strRef>
          </c:cat>
          <c:val>
            <c:numRef>
              <c:f>Funcionario!$J$11:$J$24</c:f>
              <c:numCache>
                <c:formatCode>_("R$"* #,##0.00_);_("R$"* \(#,##0.00\);_("R$"*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E4-404F-ADE4-6178728F9A35}"/>
            </c:ext>
          </c:extLst>
        </c:ser>
        <c:ser>
          <c:idx val="7"/>
          <c:order val="7"/>
          <c:tx>
            <c:strRef>
              <c:f>Funcionario!$L$10</c:f>
              <c:strCache>
                <c:ptCount val="1"/>
                <c:pt idx="0">
                  <c:v>SEMANA 4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Funcionario!$D$11:$D$24</c:f>
              <c:strCache>
                <c:ptCount val="6"/>
                <c:pt idx="0">
                  <c:v>LUÍS</c:v>
                </c:pt>
                <c:pt idx="1">
                  <c:v>SILANDIA</c:v>
                </c:pt>
                <c:pt idx="2">
                  <c:v>ZÉ LUÍS</c:v>
                </c:pt>
                <c:pt idx="3">
                  <c:v>ZÉ </c:v>
                </c:pt>
                <c:pt idx="4">
                  <c:v>CONTADOR</c:v>
                </c:pt>
                <c:pt idx="5">
                  <c:v>ANDREYNA </c:v>
                </c:pt>
              </c:strCache>
            </c:strRef>
          </c:cat>
          <c:val>
            <c:numRef>
              <c:f>Funcionario!$L$11:$L$24</c:f>
              <c:numCache>
                <c:formatCode>_("R$"* #,##0.00_);_("R$"* \(#,##0.00\);_("R$"*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E4-404F-ADE4-6178728F9A35}"/>
            </c:ext>
          </c:extLst>
        </c:ser>
        <c:ser>
          <c:idx val="9"/>
          <c:order val="9"/>
          <c:tx>
            <c:strRef>
              <c:f>Funcionario!$N$10</c:f>
              <c:strCache>
                <c:ptCount val="1"/>
                <c:pt idx="0">
                  <c:v>SEMANA5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Funcionario!$D$11:$D$24</c:f>
              <c:strCache>
                <c:ptCount val="6"/>
                <c:pt idx="0">
                  <c:v>LUÍS</c:v>
                </c:pt>
                <c:pt idx="1">
                  <c:v>SILANDIA</c:v>
                </c:pt>
                <c:pt idx="2">
                  <c:v>ZÉ LUÍS</c:v>
                </c:pt>
                <c:pt idx="3">
                  <c:v>ZÉ </c:v>
                </c:pt>
                <c:pt idx="4">
                  <c:v>CONTADOR</c:v>
                </c:pt>
                <c:pt idx="5">
                  <c:v>ANDREYNA </c:v>
                </c:pt>
              </c:strCache>
            </c:strRef>
          </c:cat>
          <c:val>
            <c:numRef>
              <c:f>Funcionario!$N$11:$N$24</c:f>
              <c:numCache>
                <c:formatCode>_("R$"* #,##0.00_);_("R$"* \(#,##0.00\);_("R$"*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E4-404F-ADE4-6178728F9A35}"/>
            </c:ext>
          </c:extLst>
        </c:ser>
        <c:ser>
          <c:idx val="11"/>
          <c:order val="11"/>
          <c:tx>
            <c:strRef>
              <c:f>Funcionario!$P$10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Funcionario!$D$11:$D$24</c:f>
              <c:strCache>
                <c:ptCount val="6"/>
                <c:pt idx="0">
                  <c:v>LUÍS</c:v>
                </c:pt>
                <c:pt idx="1">
                  <c:v>SILANDIA</c:v>
                </c:pt>
                <c:pt idx="2">
                  <c:v>ZÉ LUÍS</c:v>
                </c:pt>
                <c:pt idx="3">
                  <c:v>ZÉ </c:v>
                </c:pt>
                <c:pt idx="4">
                  <c:v>CONTADOR</c:v>
                </c:pt>
                <c:pt idx="5">
                  <c:v>ANDREYNA </c:v>
                </c:pt>
              </c:strCache>
            </c:strRef>
          </c:cat>
          <c:val>
            <c:numRef>
              <c:f>Funcionario!$P$11:$P$24</c:f>
              <c:numCache>
                <c:formatCode>"$"#,##0.00</c:formatCode>
                <c:ptCount val="14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8E4-404F-ADE4-6178728F9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45724320"/>
        <c:axId val="54574137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Funcionario!$E$10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Funcionario!$D$11:$D$24</c15:sqref>
                        </c15:formulaRef>
                      </c:ext>
                    </c:extLst>
                    <c:strCache>
                      <c:ptCount val="6"/>
                      <c:pt idx="0">
                        <c:v>LUÍS</c:v>
                      </c:pt>
                      <c:pt idx="1">
                        <c:v>SILANDIA</c:v>
                      </c:pt>
                      <c:pt idx="2">
                        <c:v>ZÉ LUÍS</c:v>
                      </c:pt>
                      <c:pt idx="3">
                        <c:v>ZÉ </c:v>
                      </c:pt>
                      <c:pt idx="4">
                        <c:v>CONTADOR</c:v>
                      </c:pt>
                      <c:pt idx="5">
                        <c:v>ANDREYNA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Funcionario!$E$11:$E$24</c15:sqref>
                        </c15:formulaRef>
                      </c:ext>
                    </c:extLst>
                    <c:numCache>
                      <c:formatCode>General</c:formatCode>
                      <c:ptCount val="1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88E4-404F-ADE4-6178728F9A35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Funcionario!$G$10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Funcionario!$D$11:$D$24</c15:sqref>
                        </c15:formulaRef>
                      </c:ext>
                    </c:extLst>
                    <c:strCache>
                      <c:ptCount val="6"/>
                      <c:pt idx="0">
                        <c:v>LUÍS</c:v>
                      </c:pt>
                      <c:pt idx="1">
                        <c:v>SILANDIA</c:v>
                      </c:pt>
                      <c:pt idx="2">
                        <c:v>ZÉ LUÍS</c:v>
                      </c:pt>
                      <c:pt idx="3">
                        <c:v>ZÉ </c:v>
                      </c:pt>
                      <c:pt idx="4">
                        <c:v>CONTADOR</c:v>
                      </c:pt>
                      <c:pt idx="5">
                        <c:v>ANDREYNA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Funcionario!$G$11:$G$24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1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8E4-404F-ADE4-6178728F9A35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Funcionario!$I$10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Funcionario!$D$11:$D$24</c15:sqref>
                        </c15:formulaRef>
                      </c:ext>
                    </c:extLst>
                    <c:strCache>
                      <c:ptCount val="6"/>
                      <c:pt idx="0">
                        <c:v>LUÍS</c:v>
                      </c:pt>
                      <c:pt idx="1">
                        <c:v>SILANDIA</c:v>
                      </c:pt>
                      <c:pt idx="2">
                        <c:v>ZÉ LUÍS</c:v>
                      </c:pt>
                      <c:pt idx="3">
                        <c:v>ZÉ </c:v>
                      </c:pt>
                      <c:pt idx="4">
                        <c:v>CONTADOR</c:v>
                      </c:pt>
                      <c:pt idx="5">
                        <c:v>ANDREYNA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Funcionario!$I$11:$I$24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1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8E4-404F-ADE4-6178728F9A35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Funcionario!$K$10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Funcionario!$D$11:$D$24</c15:sqref>
                        </c15:formulaRef>
                      </c:ext>
                    </c:extLst>
                    <c:strCache>
                      <c:ptCount val="6"/>
                      <c:pt idx="0">
                        <c:v>LUÍS</c:v>
                      </c:pt>
                      <c:pt idx="1">
                        <c:v>SILANDIA</c:v>
                      </c:pt>
                      <c:pt idx="2">
                        <c:v>ZÉ LUÍS</c:v>
                      </c:pt>
                      <c:pt idx="3">
                        <c:v>ZÉ </c:v>
                      </c:pt>
                      <c:pt idx="4">
                        <c:v>CONTADOR</c:v>
                      </c:pt>
                      <c:pt idx="5">
                        <c:v>ANDREYNA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Funcionario!$K$11:$K$24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1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8E4-404F-ADE4-6178728F9A35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Funcionario!$M$10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Funcionario!$D$11:$D$24</c15:sqref>
                        </c15:formulaRef>
                      </c:ext>
                    </c:extLst>
                    <c:strCache>
                      <c:ptCount val="6"/>
                      <c:pt idx="0">
                        <c:v>LUÍS</c:v>
                      </c:pt>
                      <c:pt idx="1">
                        <c:v>SILANDIA</c:v>
                      </c:pt>
                      <c:pt idx="2">
                        <c:v>ZÉ LUÍS</c:v>
                      </c:pt>
                      <c:pt idx="3">
                        <c:v>ZÉ </c:v>
                      </c:pt>
                      <c:pt idx="4">
                        <c:v>CONTADOR</c:v>
                      </c:pt>
                      <c:pt idx="5">
                        <c:v>ANDREYNA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Funcionario!$M$11:$M$24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1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8E4-404F-ADE4-6178728F9A35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Funcionario!$O$10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Funcionario!$D$11:$D$24</c15:sqref>
                        </c15:formulaRef>
                      </c:ext>
                    </c:extLst>
                    <c:strCache>
                      <c:ptCount val="6"/>
                      <c:pt idx="0">
                        <c:v>LUÍS</c:v>
                      </c:pt>
                      <c:pt idx="1">
                        <c:v>SILANDIA</c:v>
                      </c:pt>
                      <c:pt idx="2">
                        <c:v>ZÉ LUÍS</c:v>
                      </c:pt>
                      <c:pt idx="3">
                        <c:v>ZÉ </c:v>
                      </c:pt>
                      <c:pt idx="4">
                        <c:v>CONTADOR</c:v>
                      </c:pt>
                      <c:pt idx="5">
                        <c:v>ANDREYNA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Funcionario!$O$11:$O$24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1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8E4-404F-ADE4-6178728F9A35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Funcionario!$Q$10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Funcionario!$D$11:$D$24</c15:sqref>
                        </c15:formulaRef>
                      </c:ext>
                    </c:extLst>
                    <c:strCache>
                      <c:ptCount val="6"/>
                      <c:pt idx="0">
                        <c:v>LUÍS</c:v>
                      </c:pt>
                      <c:pt idx="1">
                        <c:v>SILANDIA</c:v>
                      </c:pt>
                      <c:pt idx="2">
                        <c:v>ZÉ LUÍS</c:v>
                      </c:pt>
                      <c:pt idx="3">
                        <c:v>ZÉ </c:v>
                      </c:pt>
                      <c:pt idx="4">
                        <c:v>CONTADOR</c:v>
                      </c:pt>
                      <c:pt idx="5">
                        <c:v>ANDREYNA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Funcionario!$Q$11:$Q$24</c15:sqref>
                        </c15:formulaRef>
                      </c:ext>
                    </c:extLst>
                    <c:numCache>
                      <c:formatCode>"$"#,##0.00</c:formatCode>
                      <c:ptCount val="1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8E4-404F-ADE4-6178728F9A35}"/>
                  </c:ext>
                </c:extLst>
              </c15:ser>
            </c15:filteredBarSeries>
          </c:ext>
        </c:extLst>
      </c:barChart>
      <c:catAx>
        <c:axId val="5457243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5741376"/>
        <c:crosses val="autoZero"/>
        <c:auto val="1"/>
        <c:lblAlgn val="ctr"/>
        <c:lblOffset val="100"/>
        <c:noMultiLvlLbl val="0"/>
      </c:catAx>
      <c:valAx>
        <c:axId val="54574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572432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Despesas!A1"/><Relationship Id="rId7" Type="http://schemas.openxmlformats.org/officeDocument/2006/relationships/hyperlink" Target="#Graficos!A1"/><Relationship Id="rId2" Type="http://schemas.openxmlformats.org/officeDocument/2006/relationships/hyperlink" Target="#Fixos!A1"/><Relationship Id="rId1" Type="http://schemas.openxmlformats.org/officeDocument/2006/relationships/hyperlink" Target="#Geral!A1"/><Relationship Id="rId6" Type="http://schemas.openxmlformats.org/officeDocument/2006/relationships/hyperlink" Target="#Fornecedores!A1"/><Relationship Id="rId11" Type="http://schemas.openxmlformats.org/officeDocument/2006/relationships/image" Target="../media/image4.svg"/><Relationship Id="rId5" Type="http://schemas.openxmlformats.org/officeDocument/2006/relationships/hyperlink" Target="#Clientes!A1"/><Relationship Id="rId10" Type="http://schemas.openxmlformats.org/officeDocument/2006/relationships/image" Target="../media/image3.png"/><Relationship Id="rId4" Type="http://schemas.openxmlformats.org/officeDocument/2006/relationships/hyperlink" Target="#Funcionario!A1"/><Relationship Id="rId9" Type="http://schemas.openxmlformats.org/officeDocument/2006/relationships/image" Target="../media/image2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chart" Target="../charts/chart2.xml"/><Relationship Id="rId3" Type="http://schemas.openxmlformats.org/officeDocument/2006/relationships/hyperlink" Target="#Despesas!A1"/><Relationship Id="rId7" Type="http://schemas.openxmlformats.org/officeDocument/2006/relationships/hyperlink" Target="#Graficos!A1"/><Relationship Id="rId12" Type="http://schemas.openxmlformats.org/officeDocument/2006/relationships/chart" Target="../charts/chart1.xml"/><Relationship Id="rId2" Type="http://schemas.openxmlformats.org/officeDocument/2006/relationships/hyperlink" Target="#Fixos!A1"/><Relationship Id="rId1" Type="http://schemas.openxmlformats.org/officeDocument/2006/relationships/hyperlink" Target="#Geral!A1"/><Relationship Id="rId6" Type="http://schemas.openxmlformats.org/officeDocument/2006/relationships/hyperlink" Target="#Fornecedores!A1"/><Relationship Id="rId11" Type="http://schemas.openxmlformats.org/officeDocument/2006/relationships/image" Target="../media/image8.svg"/><Relationship Id="rId5" Type="http://schemas.openxmlformats.org/officeDocument/2006/relationships/hyperlink" Target="#Clientes!A1"/><Relationship Id="rId10" Type="http://schemas.openxmlformats.org/officeDocument/2006/relationships/image" Target="../media/image7.png"/><Relationship Id="rId4" Type="http://schemas.openxmlformats.org/officeDocument/2006/relationships/hyperlink" Target="#Funcionario!A1"/><Relationship Id="rId9" Type="http://schemas.openxmlformats.org/officeDocument/2006/relationships/image" Target="../media/image6.svg"/><Relationship Id="rId1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Despesas!A1"/><Relationship Id="rId7" Type="http://schemas.openxmlformats.org/officeDocument/2006/relationships/hyperlink" Target="#Graficos!A1"/><Relationship Id="rId2" Type="http://schemas.openxmlformats.org/officeDocument/2006/relationships/hyperlink" Target="#Fixos!A1"/><Relationship Id="rId1" Type="http://schemas.openxmlformats.org/officeDocument/2006/relationships/hyperlink" Target="#Geral!A1"/><Relationship Id="rId6" Type="http://schemas.openxmlformats.org/officeDocument/2006/relationships/hyperlink" Target="#Fornecedores!A1"/><Relationship Id="rId11" Type="http://schemas.openxmlformats.org/officeDocument/2006/relationships/image" Target="../media/image10.svg"/><Relationship Id="rId5" Type="http://schemas.openxmlformats.org/officeDocument/2006/relationships/hyperlink" Target="#Clientes!A1"/><Relationship Id="rId10" Type="http://schemas.openxmlformats.org/officeDocument/2006/relationships/image" Target="../media/image3.png"/><Relationship Id="rId4" Type="http://schemas.openxmlformats.org/officeDocument/2006/relationships/hyperlink" Target="#Funcionario!A1"/><Relationship Id="rId9" Type="http://schemas.openxmlformats.org/officeDocument/2006/relationships/image" Target="../media/image9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Despesas!A1"/><Relationship Id="rId7" Type="http://schemas.openxmlformats.org/officeDocument/2006/relationships/hyperlink" Target="#Graficos!A1"/><Relationship Id="rId2" Type="http://schemas.openxmlformats.org/officeDocument/2006/relationships/hyperlink" Target="#Fixos!A1"/><Relationship Id="rId1" Type="http://schemas.openxmlformats.org/officeDocument/2006/relationships/hyperlink" Target="#Geral!A1"/><Relationship Id="rId6" Type="http://schemas.openxmlformats.org/officeDocument/2006/relationships/hyperlink" Target="#Fornecedores!A1"/><Relationship Id="rId11" Type="http://schemas.openxmlformats.org/officeDocument/2006/relationships/image" Target="../media/image10.svg"/><Relationship Id="rId5" Type="http://schemas.openxmlformats.org/officeDocument/2006/relationships/hyperlink" Target="#Clientes!A1"/><Relationship Id="rId10" Type="http://schemas.openxmlformats.org/officeDocument/2006/relationships/image" Target="../media/image3.png"/><Relationship Id="rId4" Type="http://schemas.openxmlformats.org/officeDocument/2006/relationships/hyperlink" Target="#Funcionario!A1"/><Relationship Id="rId9" Type="http://schemas.openxmlformats.org/officeDocument/2006/relationships/image" Target="../media/image9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Despesas!A1"/><Relationship Id="rId7" Type="http://schemas.openxmlformats.org/officeDocument/2006/relationships/hyperlink" Target="#Graficos!A1"/><Relationship Id="rId2" Type="http://schemas.openxmlformats.org/officeDocument/2006/relationships/hyperlink" Target="#Fixos!A1"/><Relationship Id="rId1" Type="http://schemas.openxmlformats.org/officeDocument/2006/relationships/hyperlink" Target="#Geral!A1"/><Relationship Id="rId6" Type="http://schemas.openxmlformats.org/officeDocument/2006/relationships/hyperlink" Target="#Fornecedores!A1"/><Relationship Id="rId11" Type="http://schemas.openxmlformats.org/officeDocument/2006/relationships/image" Target="../media/image10.svg"/><Relationship Id="rId5" Type="http://schemas.openxmlformats.org/officeDocument/2006/relationships/hyperlink" Target="#Clientes!A1"/><Relationship Id="rId10" Type="http://schemas.openxmlformats.org/officeDocument/2006/relationships/image" Target="../media/image3.png"/><Relationship Id="rId4" Type="http://schemas.openxmlformats.org/officeDocument/2006/relationships/hyperlink" Target="#Funcionario!A1"/><Relationship Id="rId9" Type="http://schemas.openxmlformats.org/officeDocument/2006/relationships/image" Target="../media/image9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Despesas!A1"/><Relationship Id="rId7" Type="http://schemas.openxmlformats.org/officeDocument/2006/relationships/hyperlink" Target="#Graficos!A1"/><Relationship Id="rId2" Type="http://schemas.openxmlformats.org/officeDocument/2006/relationships/hyperlink" Target="#Fixos!A1"/><Relationship Id="rId1" Type="http://schemas.openxmlformats.org/officeDocument/2006/relationships/hyperlink" Target="#Geral!A1"/><Relationship Id="rId6" Type="http://schemas.openxmlformats.org/officeDocument/2006/relationships/hyperlink" Target="#Fornecedores!A1"/><Relationship Id="rId11" Type="http://schemas.openxmlformats.org/officeDocument/2006/relationships/image" Target="../media/image10.svg"/><Relationship Id="rId5" Type="http://schemas.openxmlformats.org/officeDocument/2006/relationships/hyperlink" Target="#Clientes!A1"/><Relationship Id="rId10" Type="http://schemas.openxmlformats.org/officeDocument/2006/relationships/image" Target="../media/image3.png"/><Relationship Id="rId4" Type="http://schemas.openxmlformats.org/officeDocument/2006/relationships/hyperlink" Target="#Funcionario!A1"/><Relationship Id="rId9" Type="http://schemas.openxmlformats.org/officeDocument/2006/relationships/image" Target="../media/image9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Despesas!A1"/><Relationship Id="rId7" Type="http://schemas.openxmlformats.org/officeDocument/2006/relationships/hyperlink" Target="#Graficos!A1"/><Relationship Id="rId2" Type="http://schemas.openxmlformats.org/officeDocument/2006/relationships/hyperlink" Target="#Fixos!A1"/><Relationship Id="rId1" Type="http://schemas.openxmlformats.org/officeDocument/2006/relationships/hyperlink" Target="#Geral!A1"/><Relationship Id="rId6" Type="http://schemas.openxmlformats.org/officeDocument/2006/relationships/hyperlink" Target="#Fornecedores!A1"/><Relationship Id="rId11" Type="http://schemas.openxmlformats.org/officeDocument/2006/relationships/image" Target="../media/image10.svg"/><Relationship Id="rId5" Type="http://schemas.openxmlformats.org/officeDocument/2006/relationships/hyperlink" Target="#Clientes!A1"/><Relationship Id="rId10" Type="http://schemas.openxmlformats.org/officeDocument/2006/relationships/image" Target="../media/image3.png"/><Relationship Id="rId4" Type="http://schemas.openxmlformats.org/officeDocument/2006/relationships/hyperlink" Target="#Funcionario!A1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19049</xdr:colOff>
      <xdr:row>0</xdr:row>
      <xdr:rowOff>28575</xdr:rowOff>
    </xdr:from>
    <xdr:to>
      <xdr:col>6</xdr:col>
      <xdr:colOff>85724</xdr:colOff>
      <xdr:row>3</xdr:row>
      <xdr:rowOff>69723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BCDA31-620C-4C22-B32F-590F5D584654}"/>
            </a:ext>
          </a:extLst>
        </xdr:cNvPr>
        <xdr:cNvSpPr/>
      </xdr:nvSpPr>
      <xdr:spPr>
        <a:xfrm>
          <a:off x="3067049" y="28575"/>
          <a:ext cx="1285875" cy="612648"/>
        </a:xfrm>
        <a:prstGeom prst="flowChartDocumen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GERAL</a:t>
          </a:r>
        </a:p>
      </xdr:txBody>
    </xdr:sp>
    <xdr:clientData/>
  </xdr:twoCellAnchor>
  <xdr:twoCellAnchor>
    <xdr:from>
      <xdr:col>6</xdr:col>
      <xdr:colOff>76200</xdr:colOff>
      <xdr:row>0</xdr:row>
      <xdr:rowOff>28575</xdr:rowOff>
    </xdr:from>
    <xdr:to>
      <xdr:col>8</xdr:col>
      <xdr:colOff>142875</xdr:colOff>
      <xdr:row>3</xdr:row>
      <xdr:rowOff>69723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8157D12-7E08-41EB-BD6B-829EDD6EF76F}"/>
            </a:ext>
          </a:extLst>
        </xdr:cNvPr>
        <xdr:cNvSpPr/>
      </xdr:nvSpPr>
      <xdr:spPr>
        <a:xfrm>
          <a:off x="4343400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MENSAIS</a:t>
          </a:r>
        </a:p>
      </xdr:txBody>
    </xdr:sp>
    <xdr:clientData/>
  </xdr:twoCellAnchor>
  <xdr:twoCellAnchor>
    <xdr:from>
      <xdr:col>8</xdr:col>
      <xdr:colOff>142875</xdr:colOff>
      <xdr:row>0</xdr:row>
      <xdr:rowOff>28575</xdr:rowOff>
    </xdr:from>
    <xdr:to>
      <xdr:col>10</xdr:col>
      <xdr:colOff>209550</xdr:colOff>
      <xdr:row>3</xdr:row>
      <xdr:rowOff>69723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414AD6F-7054-4C88-A847-9FA8DD3B8904}"/>
            </a:ext>
          </a:extLst>
        </xdr:cNvPr>
        <xdr:cNvSpPr/>
      </xdr:nvSpPr>
      <xdr:spPr>
        <a:xfrm>
          <a:off x="5629275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800" b="1">
              <a:solidFill>
                <a:schemeClr val="tx1"/>
              </a:solidFill>
              <a:latin typeface="+mn-lt"/>
              <a:ea typeface="+mn-ea"/>
              <a:cs typeface="+mn-cs"/>
            </a:rPr>
            <a:t>SEMANAIS</a:t>
          </a:r>
        </a:p>
      </xdr:txBody>
    </xdr:sp>
    <xdr:clientData/>
  </xdr:twoCellAnchor>
  <xdr:twoCellAnchor>
    <xdr:from>
      <xdr:col>10</xdr:col>
      <xdr:colOff>219075</xdr:colOff>
      <xdr:row>0</xdr:row>
      <xdr:rowOff>28575</xdr:rowOff>
    </xdr:from>
    <xdr:to>
      <xdr:col>12</xdr:col>
      <xdr:colOff>285750</xdr:colOff>
      <xdr:row>3</xdr:row>
      <xdr:rowOff>69723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A241EF3-519B-4272-9CE3-68EDF5C2E380}"/>
            </a:ext>
          </a:extLst>
        </xdr:cNvPr>
        <xdr:cNvSpPr/>
      </xdr:nvSpPr>
      <xdr:spPr>
        <a:xfrm>
          <a:off x="6924675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FUNCION.</a:t>
          </a:r>
        </a:p>
      </xdr:txBody>
    </xdr:sp>
    <xdr:clientData/>
  </xdr:twoCellAnchor>
  <xdr:twoCellAnchor>
    <xdr:from>
      <xdr:col>12</xdr:col>
      <xdr:colOff>295275</xdr:colOff>
      <xdr:row>0</xdr:row>
      <xdr:rowOff>38100</xdr:rowOff>
    </xdr:from>
    <xdr:to>
      <xdr:col>14</xdr:col>
      <xdr:colOff>361950</xdr:colOff>
      <xdr:row>3</xdr:row>
      <xdr:rowOff>79248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4C15EB7-B32B-4E5A-8BA0-B77311495751}"/>
            </a:ext>
          </a:extLst>
        </xdr:cNvPr>
        <xdr:cNvSpPr/>
      </xdr:nvSpPr>
      <xdr:spPr>
        <a:xfrm>
          <a:off x="8220075" y="38100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CLIENTES</a:t>
          </a:r>
        </a:p>
      </xdr:txBody>
    </xdr:sp>
    <xdr:clientData/>
  </xdr:twoCellAnchor>
  <xdr:twoCellAnchor>
    <xdr:from>
      <xdr:col>14</xdr:col>
      <xdr:colOff>371475</xdr:colOff>
      <xdr:row>0</xdr:row>
      <xdr:rowOff>28575</xdr:rowOff>
    </xdr:from>
    <xdr:to>
      <xdr:col>16</xdr:col>
      <xdr:colOff>438150</xdr:colOff>
      <xdr:row>3</xdr:row>
      <xdr:rowOff>69723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C9A4D4B-0BE0-4243-B897-56588DEA6A05}"/>
            </a:ext>
          </a:extLst>
        </xdr:cNvPr>
        <xdr:cNvSpPr/>
      </xdr:nvSpPr>
      <xdr:spPr>
        <a:xfrm>
          <a:off x="9515475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FORNECEDORES</a:t>
          </a:r>
        </a:p>
      </xdr:txBody>
    </xdr:sp>
    <xdr:clientData/>
  </xdr:twoCellAnchor>
  <xdr:oneCellAnchor>
    <xdr:from>
      <xdr:col>5</xdr:col>
      <xdr:colOff>76200</xdr:colOff>
      <xdr:row>3</xdr:row>
      <xdr:rowOff>161925</xdr:rowOff>
    </xdr:from>
    <xdr:ext cx="447675" cy="447675"/>
    <xdr:pic>
      <xdr:nvPicPr>
        <xdr:cNvPr id="8" name="Gráfico 7" descr="Gráfico de pizza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BE8F38-D746-4D3C-98C0-5DA253FC6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733800" y="733425"/>
          <a:ext cx="447675" cy="447675"/>
        </a:xfrm>
        <a:prstGeom prst="rect">
          <a:avLst/>
        </a:prstGeom>
      </xdr:spPr>
    </xdr:pic>
    <xdr:clientData/>
  </xdr:oneCellAnchor>
  <xdr:oneCellAnchor>
    <xdr:from>
      <xdr:col>4</xdr:col>
      <xdr:colOff>123826</xdr:colOff>
      <xdr:row>3</xdr:row>
      <xdr:rowOff>180975</xdr:rowOff>
    </xdr:from>
    <xdr:ext cx="457200" cy="457200"/>
    <xdr:pic>
      <xdr:nvPicPr>
        <xdr:cNvPr id="9" name="Gráfico 8" descr="Pesquis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14475-4C66-4F43-80CF-0972F6501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6" y="752475"/>
          <a:ext cx="457200" cy="457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</xdr:colOff>
      <xdr:row>0</xdr:row>
      <xdr:rowOff>28575</xdr:rowOff>
    </xdr:from>
    <xdr:to>
      <xdr:col>7</xdr:col>
      <xdr:colOff>85724</xdr:colOff>
      <xdr:row>3</xdr:row>
      <xdr:rowOff>69723</xdr:rowOff>
    </xdr:to>
    <xdr:sp macro="" textlink="">
      <xdr:nvSpPr>
        <xdr:cNvPr id="38" name="Fluxograma: Documento 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E2F060-57CE-4AED-AD74-7F6A3D8AD9C1}"/>
            </a:ext>
          </a:extLst>
        </xdr:cNvPr>
        <xdr:cNvSpPr/>
      </xdr:nvSpPr>
      <xdr:spPr>
        <a:xfrm>
          <a:off x="3067049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GERAL</a:t>
          </a:r>
        </a:p>
      </xdr:txBody>
    </xdr:sp>
    <xdr:clientData/>
  </xdr:twoCellAnchor>
  <xdr:twoCellAnchor>
    <xdr:from>
      <xdr:col>7</xdr:col>
      <xdr:colOff>76200</xdr:colOff>
      <xdr:row>0</xdr:row>
      <xdr:rowOff>28575</xdr:rowOff>
    </xdr:from>
    <xdr:to>
      <xdr:col>9</xdr:col>
      <xdr:colOff>142875</xdr:colOff>
      <xdr:row>3</xdr:row>
      <xdr:rowOff>69723</xdr:rowOff>
    </xdr:to>
    <xdr:sp macro="" textlink="">
      <xdr:nvSpPr>
        <xdr:cNvPr id="39" name="Fluxograma: Documento 3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1259580-45B2-47E6-98DC-CBCBADFE2CBE}"/>
            </a:ext>
          </a:extLst>
        </xdr:cNvPr>
        <xdr:cNvSpPr/>
      </xdr:nvSpPr>
      <xdr:spPr>
        <a:xfrm>
          <a:off x="4343400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MENSAIS</a:t>
          </a:r>
        </a:p>
      </xdr:txBody>
    </xdr:sp>
    <xdr:clientData/>
  </xdr:twoCellAnchor>
  <xdr:twoCellAnchor>
    <xdr:from>
      <xdr:col>9</xdr:col>
      <xdr:colOff>142875</xdr:colOff>
      <xdr:row>0</xdr:row>
      <xdr:rowOff>28575</xdr:rowOff>
    </xdr:from>
    <xdr:to>
      <xdr:col>11</xdr:col>
      <xdr:colOff>209550</xdr:colOff>
      <xdr:row>3</xdr:row>
      <xdr:rowOff>69723</xdr:rowOff>
    </xdr:to>
    <xdr:sp macro="" textlink="">
      <xdr:nvSpPr>
        <xdr:cNvPr id="40" name="Fluxograma: Documento 3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7FD0239-D308-4B53-8B70-718A188C7B23}"/>
            </a:ext>
          </a:extLst>
        </xdr:cNvPr>
        <xdr:cNvSpPr/>
      </xdr:nvSpPr>
      <xdr:spPr>
        <a:xfrm>
          <a:off x="5629275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800" b="1">
              <a:solidFill>
                <a:schemeClr val="tx1"/>
              </a:solidFill>
              <a:latin typeface="+mn-lt"/>
              <a:ea typeface="+mn-ea"/>
              <a:cs typeface="+mn-cs"/>
            </a:rPr>
            <a:t>SEMANAIS</a:t>
          </a:r>
        </a:p>
      </xdr:txBody>
    </xdr:sp>
    <xdr:clientData/>
  </xdr:twoCellAnchor>
  <xdr:twoCellAnchor>
    <xdr:from>
      <xdr:col>11</xdr:col>
      <xdr:colOff>219075</xdr:colOff>
      <xdr:row>0</xdr:row>
      <xdr:rowOff>28575</xdr:rowOff>
    </xdr:from>
    <xdr:to>
      <xdr:col>13</xdr:col>
      <xdr:colOff>285750</xdr:colOff>
      <xdr:row>3</xdr:row>
      <xdr:rowOff>69723</xdr:rowOff>
    </xdr:to>
    <xdr:sp macro="" textlink="">
      <xdr:nvSpPr>
        <xdr:cNvPr id="41" name="Fluxograma: Documento 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95E65B6-2323-46F5-A455-55732A2337E6}"/>
            </a:ext>
          </a:extLst>
        </xdr:cNvPr>
        <xdr:cNvSpPr/>
      </xdr:nvSpPr>
      <xdr:spPr>
        <a:xfrm>
          <a:off x="6924675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FUNCION.</a:t>
          </a:r>
        </a:p>
      </xdr:txBody>
    </xdr:sp>
    <xdr:clientData/>
  </xdr:twoCellAnchor>
  <xdr:twoCellAnchor>
    <xdr:from>
      <xdr:col>13</xdr:col>
      <xdr:colOff>295275</xdr:colOff>
      <xdr:row>0</xdr:row>
      <xdr:rowOff>38100</xdr:rowOff>
    </xdr:from>
    <xdr:to>
      <xdr:col>15</xdr:col>
      <xdr:colOff>361950</xdr:colOff>
      <xdr:row>3</xdr:row>
      <xdr:rowOff>79248</xdr:rowOff>
    </xdr:to>
    <xdr:sp macro="" textlink="">
      <xdr:nvSpPr>
        <xdr:cNvPr id="42" name="Fluxograma: Documento 4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B45250F-AA7A-4767-BB36-9D89C0860436}"/>
            </a:ext>
          </a:extLst>
        </xdr:cNvPr>
        <xdr:cNvSpPr/>
      </xdr:nvSpPr>
      <xdr:spPr>
        <a:xfrm>
          <a:off x="8220075" y="38100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CLIENTES</a:t>
          </a:r>
        </a:p>
      </xdr:txBody>
    </xdr:sp>
    <xdr:clientData/>
  </xdr:twoCellAnchor>
  <xdr:twoCellAnchor>
    <xdr:from>
      <xdr:col>15</xdr:col>
      <xdr:colOff>371475</xdr:colOff>
      <xdr:row>0</xdr:row>
      <xdr:rowOff>28575</xdr:rowOff>
    </xdr:from>
    <xdr:to>
      <xdr:col>17</xdr:col>
      <xdr:colOff>438150</xdr:colOff>
      <xdr:row>3</xdr:row>
      <xdr:rowOff>69723</xdr:rowOff>
    </xdr:to>
    <xdr:sp macro="" textlink="">
      <xdr:nvSpPr>
        <xdr:cNvPr id="43" name="Fluxograma: Documento 4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C776F74-F110-4CB2-BB0D-8FA7155B2E9E}"/>
            </a:ext>
          </a:extLst>
        </xdr:cNvPr>
        <xdr:cNvSpPr/>
      </xdr:nvSpPr>
      <xdr:spPr>
        <a:xfrm>
          <a:off x="9515475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FORNECEDORES</a:t>
          </a:r>
        </a:p>
      </xdr:txBody>
    </xdr:sp>
    <xdr:clientData/>
  </xdr:twoCellAnchor>
  <xdr:oneCellAnchor>
    <xdr:from>
      <xdr:col>6</xdr:col>
      <xdr:colOff>76200</xdr:colOff>
      <xdr:row>3</xdr:row>
      <xdr:rowOff>161925</xdr:rowOff>
    </xdr:from>
    <xdr:ext cx="447675" cy="447675"/>
    <xdr:pic>
      <xdr:nvPicPr>
        <xdr:cNvPr id="44" name="Gráfico 43" descr="Gráfico de pizza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A390C4E-4748-4F24-A7B6-D81A8909B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733800" y="733425"/>
          <a:ext cx="447675" cy="447675"/>
        </a:xfrm>
        <a:prstGeom prst="rect">
          <a:avLst/>
        </a:prstGeom>
      </xdr:spPr>
    </xdr:pic>
    <xdr:clientData/>
  </xdr:oneCellAnchor>
  <xdr:oneCellAnchor>
    <xdr:from>
      <xdr:col>5</xdr:col>
      <xdr:colOff>123826</xdr:colOff>
      <xdr:row>3</xdr:row>
      <xdr:rowOff>180975</xdr:rowOff>
    </xdr:from>
    <xdr:ext cx="457200" cy="457200"/>
    <xdr:pic>
      <xdr:nvPicPr>
        <xdr:cNvPr id="45" name="Gráfico 44" descr="Pesquis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DFDD5A-67DE-4BAC-86BD-04EE5BD3F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6" y="752475"/>
          <a:ext cx="457200" cy="457200"/>
        </a:xfrm>
        <a:prstGeom prst="rect">
          <a:avLst/>
        </a:prstGeom>
      </xdr:spPr>
    </xdr:pic>
    <xdr:clientData/>
  </xdr:oneCellAnchor>
  <xdr:twoCellAnchor>
    <xdr:from>
      <xdr:col>4</xdr:col>
      <xdr:colOff>9525</xdr:colOff>
      <xdr:row>7</xdr:row>
      <xdr:rowOff>152400</xdr:rowOff>
    </xdr:from>
    <xdr:to>
      <xdr:col>11</xdr:col>
      <xdr:colOff>314325</xdr:colOff>
      <xdr:row>17</xdr:row>
      <xdr:rowOff>142875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3AFD9220-531F-40CC-8471-9B1B4FDC1F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447675</xdr:colOff>
      <xdr:row>7</xdr:row>
      <xdr:rowOff>133350</xdr:rowOff>
    </xdr:from>
    <xdr:to>
      <xdr:col>20</xdr:col>
      <xdr:colOff>142875</xdr:colOff>
      <xdr:row>17</xdr:row>
      <xdr:rowOff>123825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B48EA7EE-7927-47E8-BA95-EDBE95B0A7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0</xdr:colOff>
      <xdr:row>21</xdr:row>
      <xdr:rowOff>1</xdr:rowOff>
    </xdr:from>
    <xdr:to>
      <xdr:col>20</xdr:col>
      <xdr:colOff>161926</xdr:colOff>
      <xdr:row>38</xdr:row>
      <xdr:rowOff>114301</xdr:rowOff>
    </xdr:to>
    <xdr:graphicFrame macro="">
      <xdr:nvGraphicFramePr>
        <xdr:cNvPr id="48" name="Gráfico 47">
          <a:extLst>
            <a:ext uri="{FF2B5EF4-FFF2-40B4-BE49-F238E27FC236}">
              <a16:creationId xmlns:a16="http://schemas.microsoft.com/office/drawing/2014/main" id="{678F9010-6D0A-4B9A-AE6D-9E54DB7405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19049</xdr:colOff>
      <xdr:row>0</xdr:row>
      <xdr:rowOff>28575</xdr:rowOff>
    </xdr:from>
    <xdr:to>
      <xdr:col>6</xdr:col>
      <xdr:colOff>85724</xdr:colOff>
      <xdr:row>3</xdr:row>
      <xdr:rowOff>69723</xdr:rowOff>
    </xdr:to>
    <xdr:sp macro="" textlink="">
      <xdr:nvSpPr>
        <xdr:cNvPr id="40" name="Fluxograma: Documento 3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4CE5E-A992-4326-AEC3-692D5E35EA04}"/>
            </a:ext>
          </a:extLst>
        </xdr:cNvPr>
        <xdr:cNvSpPr/>
      </xdr:nvSpPr>
      <xdr:spPr>
        <a:xfrm>
          <a:off x="3067049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GERAL</a:t>
          </a:r>
        </a:p>
      </xdr:txBody>
    </xdr:sp>
    <xdr:clientData/>
  </xdr:twoCellAnchor>
  <xdr:twoCellAnchor>
    <xdr:from>
      <xdr:col>6</xdr:col>
      <xdr:colOff>76200</xdr:colOff>
      <xdr:row>0</xdr:row>
      <xdr:rowOff>28575</xdr:rowOff>
    </xdr:from>
    <xdr:to>
      <xdr:col>8</xdr:col>
      <xdr:colOff>142875</xdr:colOff>
      <xdr:row>3</xdr:row>
      <xdr:rowOff>69723</xdr:rowOff>
    </xdr:to>
    <xdr:sp macro="" textlink="">
      <xdr:nvSpPr>
        <xdr:cNvPr id="41" name="Fluxograma: Documento 4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D5F48B9-DC1C-48F3-B424-8B8AE6207525}"/>
            </a:ext>
          </a:extLst>
        </xdr:cNvPr>
        <xdr:cNvSpPr/>
      </xdr:nvSpPr>
      <xdr:spPr>
        <a:xfrm>
          <a:off x="4343400" y="28575"/>
          <a:ext cx="1285875" cy="612648"/>
        </a:xfrm>
        <a:prstGeom prst="flowChartDocumen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MENSAIS</a:t>
          </a:r>
        </a:p>
      </xdr:txBody>
    </xdr:sp>
    <xdr:clientData/>
  </xdr:twoCellAnchor>
  <xdr:twoCellAnchor>
    <xdr:from>
      <xdr:col>8</xdr:col>
      <xdr:colOff>142875</xdr:colOff>
      <xdr:row>0</xdr:row>
      <xdr:rowOff>28575</xdr:rowOff>
    </xdr:from>
    <xdr:to>
      <xdr:col>10</xdr:col>
      <xdr:colOff>209550</xdr:colOff>
      <xdr:row>3</xdr:row>
      <xdr:rowOff>69723</xdr:rowOff>
    </xdr:to>
    <xdr:sp macro="" textlink="">
      <xdr:nvSpPr>
        <xdr:cNvPr id="42" name="Fluxograma: Documento 4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ED2047-9EB9-4311-ACB7-568E419FE6D3}"/>
            </a:ext>
          </a:extLst>
        </xdr:cNvPr>
        <xdr:cNvSpPr/>
      </xdr:nvSpPr>
      <xdr:spPr>
        <a:xfrm>
          <a:off x="5629275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800" b="1">
              <a:solidFill>
                <a:schemeClr val="tx1"/>
              </a:solidFill>
              <a:latin typeface="+mn-lt"/>
              <a:ea typeface="+mn-ea"/>
              <a:cs typeface="+mn-cs"/>
            </a:rPr>
            <a:t>SEMANAIS</a:t>
          </a:r>
        </a:p>
      </xdr:txBody>
    </xdr:sp>
    <xdr:clientData/>
  </xdr:twoCellAnchor>
  <xdr:twoCellAnchor>
    <xdr:from>
      <xdr:col>10</xdr:col>
      <xdr:colOff>219075</xdr:colOff>
      <xdr:row>0</xdr:row>
      <xdr:rowOff>28575</xdr:rowOff>
    </xdr:from>
    <xdr:to>
      <xdr:col>12</xdr:col>
      <xdr:colOff>285750</xdr:colOff>
      <xdr:row>3</xdr:row>
      <xdr:rowOff>69723</xdr:rowOff>
    </xdr:to>
    <xdr:sp macro="" textlink="">
      <xdr:nvSpPr>
        <xdr:cNvPr id="43" name="Fluxograma: Documento 4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AE7941F-9C77-4BC5-BE7C-6A9BB1BD51E6}"/>
            </a:ext>
          </a:extLst>
        </xdr:cNvPr>
        <xdr:cNvSpPr/>
      </xdr:nvSpPr>
      <xdr:spPr>
        <a:xfrm>
          <a:off x="6924675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FUNCION.</a:t>
          </a:r>
        </a:p>
      </xdr:txBody>
    </xdr:sp>
    <xdr:clientData/>
  </xdr:twoCellAnchor>
  <xdr:twoCellAnchor>
    <xdr:from>
      <xdr:col>12</xdr:col>
      <xdr:colOff>295275</xdr:colOff>
      <xdr:row>0</xdr:row>
      <xdr:rowOff>38100</xdr:rowOff>
    </xdr:from>
    <xdr:to>
      <xdr:col>14</xdr:col>
      <xdr:colOff>361950</xdr:colOff>
      <xdr:row>3</xdr:row>
      <xdr:rowOff>79248</xdr:rowOff>
    </xdr:to>
    <xdr:sp macro="" textlink="">
      <xdr:nvSpPr>
        <xdr:cNvPr id="44" name="Fluxograma: Documento 4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B2D0BE0-5931-4BB4-BFE0-8F37474EC670}"/>
            </a:ext>
          </a:extLst>
        </xdr:cNvPr>
        <xdr:cNvSpPr/>
      </xdr:nvSpPr>
      <xdr:spPr>
        <a:xfrm>
          <a:off x="8220075" y="38100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CLIENTES</a:t>
          </a:r>
        </a:p>
      </xdr:txBody>
    </xdr:sp>
    <xdr:clientData/>
  </xdr:twoCellAnchor>
  <xdr:twoCellAnchor>
    <xdr:from>
      <xdr:col>14</xdr:col>
      <xdr:colOff>371475</xdr:colOff>
      <xdr:row>0</xdr:row>
      <xdr:rowOff>28575</xdr:rowOff>
    </xdr:from>
    <xdr:to>
      <xdr:col>16</xdr:col>
      <xdr:colOff>438150</xdr:colOff>
      <xdr:row>3</xdr:row>
      <xdr:rowOff>69723</xdr:rowOff>
    </xdr:to>
    <xdr:sp macro="" textlink="">
      <xdr:nvSpPr>
        <xdr:cNvPr id="45" name="Fluxograma: Documento 4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F1BD8E1-9728-45A5-8DEA-D2C4D75098F1}"/>
            </a:ext>
          </a:extLst>
        </xdr:cNvPr>
        <xdr:cNvSpPr/>
      </xdr:nvSpPr>
      <xdr:spPr>
        <a:xfrm>
          <a:off x="9515475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FORNECEDORES</a:t>
          </a:r>
        </a:p>
      </xdr:txBody>
    </xdr:sp>
    <xdr:clientData/>
  </xdr:twoCellAnchor>
  <xdr:oneCellAnchor>
    <xdr:from>
      <xdr:col>5</xdr:col>
      <xdr:colOff>76200</xdr:colOff>
      <xdr:row>3</xdr:row>
      <xdr:rowOff>161925</xdr:rowOff>
    </xdr:from>
    <xdr:ext cx="447675" cy="447675"/>
    <xdr:pic>
      <xdr:nvPicPr>
        <xdr:cNvPr id="46" name="Gráfico 45" descr="Gráfico de pizza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80FE534-048A-47C7-A52A-52F2004CE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733800" y="733425"/>
          <a:ext cx="447675" cy="447675"/>
        </a:xfrm>
        <a:prstGeom prst="rect">
          <a:avLst/>
        </a:prstGeom>
      </xdr:spPr>
    </xdr:pic>
    <xdr:clientData/>
  </xdr:oneCellAnchor>
  <xdr:oneCellAnchor>
    <xdr:from>
      <xdr:col>4</xdr:col>
      <xdr:colOff>123826</xdr:colOff>
      <xdr:row>3</xdr:row>
      <xdr:rowOff>180975</xdr:rowOff>
    </xdr:from>
    <xdr:ext cx="457200" cy="457200"/>
    <xdr:pic>
      <xdr:nvPicPr>
        <xdr:cNvPr id="47" name="Gráfico 46" descr="Pesquis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6960CE-BEE8-4BA4-829A-0EE25E794C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6" y="752475"/>
          <a:ext cx="457200" cy="4572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0</xdr:row>
      <xdr:rowOff>28575</xdr:rowOff>
    </xdr:from>
    <xdr:to>
      <xdr:col>5</xdr:col>
      <xdr:colOff>85724</xdr:colOff>
      <xdr:row>3</xdr:row>
      <xdr:rowOff>69723</xdr:rowOff>
    </xdr:to>
    <xdr:sp macro="" textlink="">
      <xdr:nvSpPr>
        <xdr:cNvPr id="10" name="Fluxograma: Documento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6103AC-1AB6-4BD8-95C9-D1E5523F09C1}"/>
            </a:ext>
          </a:extLst>
        </xdr:cNvPr>
        <xdr:cNvSpPr/>
      </xdr:nvSpPr>
      <xdr:spPr>
        <a:xfrm>
          <a:off x="3067049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GERAL</a:t>
          </a:r>
        </a:p>
      </xdr:txBody>
    </xdr:sp>
    <xdr:clientData/>
  </xdr:twoCellAnchor>
  <xdr:twoCellAnchor>
    <xdr:from>
      <xdr:col>5</xdr:col>
      <xdr:colOff>76200</xdr:colOff>
      <xdr:row>0</xdr:row>
      <xdr:rowOff>28575</xdr:rowOff>
    </xdr:from>
    <xdr:to>
      <xdr:col>7</xdr:col>
      <xdr:colOff>142875</xdr:colOff>
      <xdr:row>3</xdr:row>
      <xdr:rowOff>69723</xdr:rowOff>
    </xdr:to>
    <xdr:sp macro="" textlink="">
      <xdr:nvSpPr>
        <xdr:cNvPr id="19" name="Fluxograma: Documento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E64791-07B8-4479-AF08-931E6342471F}"/>
            </a:ext>
          </a:extLst>
        </xdr:cNvPr>
        <xdr:cNvSpPr/>
      </xdr:nvSpPr>
      <xdr:spPr>
        <a:xfrm>
          <a:off x="4343400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MENSAIS</a:t>
          </a:r>
        </a:p>
      </xdr:txBody>
    </xdr:sp>
    <xdr:clientData/>
  </xdr:twoCellAnchor>
  <xdr:twoCellAnchor>
    <xdr:from>
      <xdr:col>7</xdr:col>
      <xdr:colOff>142875</xdr:colOff>
      <xdr:row>0</xdr:row>
      <xdr:rowOff>28575</xdr:rowOff>
    </xdr:from>
    <xdr:to>
      <xdr:col>9</xdr:col>
      <xdr:colOff>209550</xdr:colOff>
      <xdr:row>3</xdr:row>
      <xdr:rowOff>69723</xdr:rowOff>
    </xdr:to>
    <xdr:sp macro="" textlink="">
      <xdr:nvSpPr>
        <xdr:cNvPr id="20" name="Fluxograma: Document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07D8260-E228-439E-8DA5-4D908A652E74}"/>
            </a:ext>
          </a:extLst>
        </xdr:cNvPr>
        <xdr:cNvSpPr/>
      </xdr:nvSpPr>
      <xdr:spPr>
        <a:xfrm>
          <a:off x="5629275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800" b="1">
              <a:solidFill>
                <a:schemeClr val="tx1"/>
              </a:solidFill>
              <a:latin typeface="+mn-lt"/>
              <a:ea typeface="+mn-ea"/>
              <a:cs typeface="+mn-cs"/>
            </a:rPr>
            <a:t>SEMANAIS</a:t>
          </a:r>
        </a:p>
      </xdr:txBody>
    </xdr:sp>
    <xdr:clientData/>
  </xdr:twoCellAnchor>
  <xdr:twoCellAnchor>
    <xdr:from>
      <xdr:col>9</xdr:col>
      <xdr:colOff>219075</xdr:colOff>
      <xdr:row>0</xdr:row>
      <xdr:rowOff>28575</xdr:rowOff>
    </xdr:from>
    <xdr:to>
      <xdr:col>11</xdr:col>
      <xdr:colOff>285750</xdr:colOff>
      <xdr:row>3</xdr:row>
      <xdr:rowOff>69723</xdr:rowOff>
    </xdr:to>
    <xdr:sp macro="" textlink="">
      <xdr:nvSpPr>
        <xdr:cNvPr id="21" name="Fluxograma: Documento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A626EF5-74B2-4421-BCD0-8C6E056D256E}"/>
            </a:ext>
          </a:extLst>
        </xdr:cNvPr>
        <xdr:cNvSpPr/>
      </xdr:nvSpPr>
      <xdr:spPr>
        <a:xfrm>
          <a:off x="6924675" y="28575"/>
          <a:ext cx="1285875" cy="612648"/>
        </a:xfrm>
        <a:prstGeom prst="flowChartDocumen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FUNCION.</a:t>
          </a:r>
        </a:p>
      </xdr:txBody>
    </xdr:sp>
    <xdr:clientData/>
  </xdr:twoCellAnchor>
  <xdr:twoCellAnchor>
    <xdr:from>
      <xdr:col>11</xdr:col>
      <xdr:colOff>295275</xdr:colOff>
      <xdr:row>0</xdr:row>
      <xdr:rowOff>38100</xdr:rowOff>
    </xdr:from>
    <xdr:to>
      <xdr:col>13</xdr:col>
      <xdr:colOff>361950</xdr:colOff>
      <xdr:row>3</xdr:row>
      <xdr:rowOff>79248</xdr:rowOff>
    </xdr:to>
    <xdr:sp macro="" textlink="">
      <xdr:nvSpPr>
        <xdr:cNvPr id="22" name="Fluxograma: Documento 2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E3D200D-B452-4545-8BC1-928ECA8CA305}"/>
            </a:ext>
          </a:extLst>
        </xdr:cNvPr>
        <xdr:cNvSpPr/>
      </xdr:nvSpPr>
      <xdr:spPr>
        <a:xfrm>
          <a:off x="8220075" y="38100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CLIENTES</a:t>
          </a:r>
        </a:p>
      </xdr:txBody>
    </xdr:sp>
    <xdr:clientData/>
  </xdr:twoCellAnchor>
  <xdr:twoCellAnchor>
    <xdr:from>
      <xdr:col>13</xdr:col>
      <xdr:colOff>371475</xdr:colOff>
      <xdr:row>0</xdr:row>
      <xdr:rowOff>28575</xdr:rowOff>
    </xdr:from>
    <xdr:to>
      <xdr:col>15</xdr:col>
      <xdr:colOff>438150</xdr:colOff>
      <xdr:row>3</xdr:row>
      <xdr:rowOff>69723</xdr:rowOff>
    </xdr:to>
    <xdr:sp macro="" textlink="">
      <xdr:nvSpPr>
        <xdr:cNvPr id="23" name="Fluxograma: Documento 2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8963EB7-4CBB-40FB-9150-F8F8DFB7F235}"/>
            </a:ext>
          </a:extLst>
        </xdr:cNvPr>
        <xdr:cNvSpPr/>
      </xdr:nvSpPr>
      <xdr:spPr>
        <a:xfrm>
          <a:off x="9515475" y="28575"/>
          <a:ext cx="1504950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FORNECEDORES</a:t>
          </a:r>
        </a:p>
      </xdr:txBody>
    </xdr:sp>
    <xdr:clientData/>
  </xdr:twoCellAnchor>
  <xdr:oneCellAnchor>
    <xdr:from>
      <xdr:col>4</xdr:col>
      <xdr:colOff>76200</xdr:colOff>
      <xdr:row>3</xdr:row>
      <xdr:rowOff>161925</xdr:rowOff>
    </xdr:from>
    <xdr:ext cx="447675" cy="447675"/>
    <xdr:pic>
      <xdr:nvPicPr>
        <xdr:cNvPr id="24" name="Gráfico 23" descr="Gráfico de pizza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F09B84B-35EB-4D8E-B184-3089C1101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733800" y="733425"/>
          <a:ext cx="447675" cy="447675"/>
        </a:xfrm>
        <a:prstGeom prst="rect">
          <a:avLst/>
        </a:prstGeom>
      </xdr:spPr>
    </xdr:pic>
    <xdr:clientData/>
  </xdr:oneCellAnchor>
  <xdr:oneCellAnchor>
    <xdr:from>
      <xdr:col>3</xdr:col>
      <xdr:colOff>123826</xdr:colOff>
      <xdr:row>3</xdr:row>
      <xdr:rowOff>180975</xdr:rowOff>
    </xdr:from>
    <xdr:ext cx="457200" cy="457200"/>
    <xdr:pic>
      <xdr:nvPicPr>
        <xdr:cNvPr id="25" name="Gráfico 24" descr="Pesquis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5449FC-F886-4276-8F4F-FBBBF0EE3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6" y="752475"/>
          <a:ext cx="457200" cy="45720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0</xdr:row>
      <xdr:rowOff>28575</xdr:rowOff>
    </xdr:from>
    <xdr:to>
      <xdr:col>5</xdr:col>
      <xdr:colOff>85724</xdr:colOff>
      <xdr:row>3</xdr:row>
      <xdr:rowOff>69723</xdr:rowOff>
    </xdr:to>
    <xdr:sp macro="" textlink="">
      <xdr:nvSpPr>
        <xdr:cNvPr id="30" name="Fluxograma: Documento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CA0569-3088-4A68-95B9-B1BFCD2AB946}"/>
            </a:ext>
          </a:extLst>
        </xdr:cNvPr>
        <xdr:cNvSpPr/>
      </xdr:nvSpPr>
      <xdr:spPr>
        <a:xfrm>
          <a:off x="3067049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GERAL</a:t>
          </a:r>
        </a:p>
      </xdr:txBody>
    </xdr:sp>
    <xdr:clientData/>
  </xdr:twoCellAnchor>
  <xdr:twoCellAnchor>
    <xdr:from>
      <xdr:col>5</xdr:col>
      <xdr:colOff>76200</xdr:colOff>
      <xdr:row>0</xdr:row>
      <xdr:rowOff>28575</xdr:rowOff>
    </xdr:from>
    <xdr:to>
      <xdr:col>7</xdr:col>
      <xdr:colOff>142875</xdr:colOff>
      <xdr:row>3</xdr:row>
      <xdr:rowOff>69723</xdr:rowOff>
    </xdr:to>
    <xdr:sp macro="" textlink="">
      <xdr:nvSpPr>
        <xdr:cNvPr id="31" name="Fluxograma: Documento 3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3D93C6-A709-4D74-BC73-112CD37FD030}"/>
            </a:ext>
          </a:extLst>
        </xdr:cNvPr>
        <xdr:cNvSpPr/>
      </xdr:nvSpPr>
      <xdr:spPr>
        <a:xfrm>
          <a:off x="4343400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MENSAIS</a:t>
          </a:r>
        </a:p>
      </xdr:txBody>
    </xdr:sp>
    <xdr:clientData/>
  </xdr:twoCellAnchor>
  <xdr:twoCellAnchor>
    <xdr:from>
      <xdr:col>7</xdr:col>
      <xdr:colOff>142875</xdr:colOff>
      <xdr:row>0</xdr:row>
      <xdr:rowOff>28575</xdr:rowOff>
    </xdr:from>
    <xdr:to>
      <xdr:col>9</xdr:col>
      <xdr:colOff>209550</xdr:colOff>
      <xdr:row>3</xdr:row>
      <xdr:rowOff>69723</xdr:rowOff>
    </xdr:to>
    <xdr:sp macro="" textlink="">
      <xdr:nvSpPr>
        <xdr:cNvPr id="32" name="Fluxograma: Documento 3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57564CF-A3D9-4449-BB20-1422E2DEB4FE}"/>
            </a:ext>
          </a:extLst>
        </xdr:cNvPr>
        <xdr:cNvSpPr/>
      </xdr:nvSpPr>
      <xdr:spPr>
        <a:xfrm>
          <a:off x="5629275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800" b="1">
              <a:solidFill>
                <a:schemeClr val="tx1"/>
              </a:solidFill>
              <a:latin typeface="+mn-lt"/>
              <a:ea typeface="+mn-ea"/>
              <a:cs typeface="+mn-cs"/>
            </a:rPr>
            <a:t>SEMANAIS</a:t>
          </a:r>
        </a:p>
      </xdr:txBody>
    </xdr:sp>
    <xdr:clientData/>
  </xdr:twoCellAnchor>
  <xdr:twoCellAnchor>
    <xdr:from>
      <xdr:col>9</xdr:col>
      <xdr:colOff>219075</xdr:colOff>
      <xdr:row>0</xdr:row>
      <xdr:rowOff>28575</xdr:rowOff>
    </xdr:from>
    <xdr:to>
      <xdr:col>11</xdr:col>
      <xdr:colOff>285750</xdr:colOff>
      <xdr:row>3</xdr:row>
      <xdr:rowOff>69723</xdr:rowOff>
    </xdr:to>
    <xdr:sp macro="" textlink="">
      <xdr:nvSpPr>
        <xdr:cNvPr id="33" name="Fluxograma: Documento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7E2C24D-14A8-4FFA-ADEE-F42A1A353CB2}"/>
            </a:ext>
          </a:extLst>
        </xdr:cNvPr>
        <xdr:cNvSpPr/>
      </xdr:nvSpPr>
      <xdr:spPr>
        <a:xfrm>
          <a:off x="6924675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FUNCION.</a:t>
          </a:r>
        </a:p>
      </xdr:txBody>
    </xdr:sp>
    <xdr:clientData/>
  </xdr:twoCellAnchor>
  <xdr:twoCellAnchor>
    <xdr:from>
      <xdr:col>11</xdr:col>
      <xdr:colOff>295275</xdr:colOff>
      <xdr:row>0</xdr:row>
      <xdr:rowOff>38100</xdr:rowOff>
    </xdr:from>
    <xdr:to>
      <xdr:col>13</xdr:col>
      <xdr:colOff>361950</xdr:colOff>
      <xdr:row>3</xdr:row>
      <xdr:rowOff>79248</xdr:rowOff>
    </xdr:to>
    <xdr:sp macro="" textlink="">
      <xdr:nvSpPr>
        <xdr:cNvPr id="34" name="Fluxograma: Documento 3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DE38DA6-DDD4-4938-B76B-0B5DCBC03141}"/>
            </a:ext>
          </a:extLst>
        </xdr:cNvPr>
        <xdr:cNvSpPr/>
      </xdr:nvSpPr>
      <xdr:spPr>
        <a:xfrm>
          <a:off x="8220075" y="38100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CLIENTES</a:t>
          </a:r>
        </a:p>
      </xdr:txBody>
    </xdr:sp>
    <xdr:clientData/>
  </xdr:twoCellAnchor>
  <xdr:twoCellAnchor>
    <xdr:from>
      <xdr:col>13</xdr:col>
      <xdr:colOff>371475</xdr:colOff>
      <xdr:row>0</xdr:row>
      <xdr:rowOff>28575</xdr:rowOff>
    </xdr:from>
    <xdr:to>
      <xdr:col>15</xdr:col>
      <xdr:colOff>438150</xdr:colOff>
      <xdr:row>3</xdr:row>
      <xdr:rowOff>69723</xdr:rowOff>
    </xdr:to>
    <xdr:sp macro="" textlink="">
      <xdr:nvSpPr>
        <xdr:cNvPr id="35" name="Fluxograma: Documento 3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D6C0B1E-42EA-4B6C-ADF4-EE0E9A50550B}"/>
            </a:ext>
          </a:extLst>
        </xdr:cNvPr>
        <xdr:cNvSpPr/>
      </xdr:nvSpPr>
      <xdr:spPr>
        <a:xfrm>
          <a:off x="9515475" y="28575"/>
          <a:ext cx="1504950" cy="612648"/>
        </a:xfrm>
        <a:prstGeom prst="flowChartDocumen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FORNECEDORES</a:t>
          </a:r>
        </a:p>
      </xdr:txBody>
    </xdr:sp>
    <xdr:clientData/>
  </xdr:twoCellAnchor>
  <xdr:oneCellAnchor>
    <xdr:from>
      <xdr:col>4</xdr:col>
      <xdr:colOff>76200</xdr:colOff>
      <xdr:row>3</xdr:row>
      <xdr:rowOff>161925</xdr:rowOff>
    </xdr:from>
    <xdr:ext cx="447675" cy="447675"/>
    <xdr:pic>
      <xdr:nvPicPr>
        <xdr:cNvPr id="36" name="Gráfico 35" descr="Gráfico de pizza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00EED83-8EA3-4065-B205-9E052B1FA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733800" y="733425"/>
          <a:ext cx="447675" cy="447675"/>
        </a:xfrm>
        <a:prstGeom prst="rect">
          <a:avLst/>
        </a:prstGeom>
      </xdr:spPr>
    </xdr:pic>
    <xdr:clientData/>
  </xdr:oneCellAnchor>
  <xdr:oneCellAnchor>
    <xdr:from>
      <xdr:col>3</xdr:col>
      <xdr:colOff>123826</xdr:colOff>
      <xdr:row>3</xdr:row>
      <xdr:rowOff>180975</xdr:rowOff>
    </xdr:from>
    <xdr:ext cx="457200" cy="457200"/>
    <xdr:pic>
      <xdr:nvPicPr>
        <xdr:cNvPr id="37" name="Gráfico 36" descr="Pesquis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E09433-C604-41DF-8D30-3557BC7E82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6" y="752475"/>
          <a:ext cx="457200" cy="457200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19049</xdr:colOff>
      <xdr:row>0</xdr:row>
      <xdr:rowOff>28575</xdr:rowOff>
    </xdr:from>
    <xdr:to>
      <xdr:col>6</xdr:col>
      <xdr:colOff>85724</xdr:colOff>
      <xdr:row>3</xdr:row>
      <xdr:rowOff>69723</xdr:rowOff>
    </xdr:to>
    <xdr:sp macro="" textlink="">
      <xdr:nvSpPr>
        <xdr:cNvPr id="18" name="Fluxograma: Documento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100E0E-8B3E-4381-BAD9-D4073401392B}"/>
            </a:ext>
          </a:extLst>
        </xdr:cNvPr>
        <xdr:cNvSpPr/>
      </xdr:nvSpPr>
      <xdr:spPr>
        <a:xfrm>
          <a:off x="3067049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GERAL</a:t>
          </a:r>
        </a:p>
      </xdr:txBody>
    </xdr:sp>
    <xdr:clientData/>
  </xdr:twoCellAnchor>
  <xdr:twoCellAnchor>
    <xdr:from>
      <xdr:col>6</xdr:col>
      <xdr:colOff>76200</xdr:colOff>
      <xdr:row>0</xdr:row>
      <xdr:rowOff>28575</xdr:rowOff>
    </xdr:from>
    <xdr:to>
      <xdr:col>8</xdr:col>
      <xdr:colOff>142875</xdr:colOff>
      <xdr:row>3</xdr:row>
      <xdr:rowOff>69723</xdr:rowOff>
    </xdr:to>
    <xdr:sp macro="" textlink="">
      <xdr:nvSpPr>
        <xdr:cNvPr id="19" name="Fluxograma: Documento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C4A793D-74B9-4A86-9DAB-F2751AD5AE59}"/>
            </a:ext>
          </a:extLst>
        </xdr:cNvPr>
        <xdr:cNvSpPr/>
      </xdr:nvSpPr>
      <xdr:spPr>
        <a:xfrm>
          <a:off x="4343400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MENSAIS</a:t>
          </a:r>
        </a:p>
      </xdr:txBody>
    </xdr:sp>
    <xdr:clientData/>
  </xdr:twoCellAnchor>
  <xdr:twoCellAnchor>
    <xdr:from>
      <xdr:col>8</xdr:col>
      <xdr:colOff>142875</xdr:colOff>
      <xdr:row>0</xdr:row>
      <xdr:rowOff>28575</xdr:rowOff>
    </xdr:from>
    <xdr:to>
      <xdr:col>10</xdr:col>
      <xdr:colOff>209550</xdr:colOff>
      <xdr:row>3</xdr:row>
      <xdr:rowOff>69723</xdr:rowOff>
    </xdr:to>
    <xdr:sp macro="" textlink="">
      <xdr:nvSpPr>
        <xdr:cNvPr id="20" name="Fluxograma: Document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15E490D-8760-462E-94D8-E0B34CA6A541}"/>
            </a:ext>
          </a:extLst>
        </xdr:cNvPr>
        <xdr:cNvSpPr/>
      </xdr:nvSpPr>
      <xdr:spPr>
        <a:xfrm>
          <a:off x="5629275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800" b="1">
              <a:solidFill>
                <a:schemeClr val="tx1"/>
              </a:solidFill>
              <a:latin typeface="+mn-lt"/>
              <a:ea typeface="+mn-ea"/>
              <a:cs typeface="+mn-cs"/>
            </a:rPr>
            <a:t>SEMANAIS</a:t>
          </a:r>
        </a:p>
      </xdr:txBody>
    </xdr:sp>
    <xdr:clientData/>
  </xdr:twoCellAnchor>
  <xdr:twoCellAnchor>
    <xdr:from>
      <xdr:col>10</xdr:col>
      <xdr:colOff>219075</xdr:colOff>
      <xdr:row>0</xdr:row>
      <xdr:rowOff>28575</xdr:rowOff>
    </xdr:from>
    <xdr:to>
      <xdr:col>12</xdr:col>
      <xdr:colOff>285750</xdr:colOff>
      <xdr:row>3</xdr:row>
      <xdr:rowOff>69723</xdr:rowOff>
    </xdr:to>
    <xdr:sp macro="" textlink="">
      <xdr:nvSpPr>
        <xdr:cNvPr id="21" name="Fluxograma: Documento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1DAD90F-8769-43E5-9025-C21C309E371C}"/>
            </a:ext>
          </a:extLst>
        </xdr:cNvPr>
        <xdr:cNvSpPr/>
      </xdr:nvSpPr>
      <xdr:spPr>
        <a:xfrm>
          <a:off x="6924675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FUNCION.</a:t>
          </a:r>
        </a:p>
      </xdr:txBody>
    </xdr:sp>
    <xdr:clientData/>
  </xdr:twoCellAnchor>
  <xdr:twoCellAnchor>
    <xdr:from>
      <xdr:col>12</xdr:col>
      <xdr:colOff>295275</xdr:colOff>
      <xdr:row>0</xdr:row>
      <xdr:rowOff>38100</xdr:rowOff>
    </xdr:from>
    <xdr:to>
      <xdr:col>14</xdr:col>
      <xdr:colOff>361950</xdr:colOff>
      <xdr:row>3</xdr:row>
      <xdr:rowOff>79248</xdr:rowOff>
    </xdr:to>
    <xdr:sp macro="" textlink="">
      <xdr:nvSpPr>
        <xdr:cNvPr id="22" name="Fluxograma: Documento 2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F594D94-7933-4D84-BA5F-B7675CCBBB8D}"/>
            </a:ext>
          </a:extLst>
        </xdr:cNvPr>
        <xdr:cNvSpPr/>
      </xdr:nvSpPr>
      <xdr:spPr>
        <a:xfrm>
          <a:off x="8220075" y="38100"/>
          <a:ext cx="1285875" cy="612648"/>
        </a:xfrm>
        <a:prstGeom prst="flowChartDocumen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CLIENTES</a:t>
          </a:r>
        </a:p>
      </xdr:txBody>
    </xdr:sp>
    <xdr:clientData/>
  </xdr:twoCellAnchor>
  <xdr:twoCellAnchor>
    <xdr:from>
      <xdr:col>14</xdr:col>
      <xdr:colOff>371475</xdr:colOff>
      <xdr:row>0</xdr:row>
      <xdr:rowOff>28575</xdr:rowOff>
    </xdr:from>
    <xdr:to>
      <xdr:col>16</xdr:col>
      <xdr:colOff>438150</xdr:colOff>
      <xdr:row>3</xdr:row>
      <xdr:rowOff>69723</xdr:rowOff>
    </xdr:to>
    <xdr:sp macro="" textlink="">
      <xdr:nvSpPr>
        <xdr:cNvPr id="23" name="Fluxograma: Documento 2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EC03E23-559B-4809-A69B-0CC7391D1412}"/>
            </a:ext>
          </a:extLst>
        </xdr:cNvPr>
        <xdr:cNvSpPr/>
      </xdr:nvSpPr>
      <xdr:spPr>
        <a:xfrm>
          <a:off x="9515475" y="28575"/>
          <a:ext cx="1504950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FORNECEDORES</a:t>
          </a:r>
        </a:p>
      </xdr:txBody>
    </xdr:sp>
    <xdr:clientData/>
  </xdr:twoCellAnchor>
  <xdr:oneCellAnchor>
    <xdr:from>
      <xdr:col>5</xdr:col>
      <xdr:colOff>76200</xdr:colOff>
      <xdr:row>3</xdr:row>
      <xdr:rowOff>161925</xdr:rowOff>
    </xdr:from>
    <xdr:ext cx="447675" cy="447675"/>
    <xdr:pic>
      <xdr:nvPicPr>
        <xdr:cNvPr id="24" name="Gráfico 23" descr="Gráfico de pizza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0C4CF4E-C936-4D84-9E66-5B1AE1793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733800" y="733425"/>
          <a:ext cx="447675" cy="447675"/>
        </a:xfrm>
        <a:prstGeom prst="rect">
          <a:avLst/>
        </a:prstGeom>
      </xdr:spPr>
    </xdr:pic>
    <xdr:clientData/>
  </xdr:oneCellAnchor>
  <xdr:oneCellAnchor>
    <xdr:from>
      <xdr:col>4</xdr:col>
      <xdr:colOff>123826</xdr:colOff>
      <xdr:row>3</xdr:row>
      <xdr:rowOff>180975</xdr:rowOff>
    </xdr:from>
    <xdr:ext cx="457200" cy="457200"/>
    <xdr:pic>
      <xdr:nvPicPr>
        <xdr:cNvPr id="25" name="Gráfico 24" descr="Pesquis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17B11C-06BD-489A-94E7-8D212FF5C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6" y="752475"/>
          <a:ext cx="457200" cy="457200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19049</xdr:colOff>
      <xdr:row>0</xdr:row>
      <xdr:rowOff>28575</xdr:rowOff>
    </xdr:from>
    <xdr:to>
      <xdr:col>6</xdr:col>
      <xdr:colOff>85724</xdr:colOff>
      <xdr:row>3</xdr:row>
      <xdr:rowOff>69723</xdr:rowOff>
    </xdr:to>
    <xdr:sp macro="" textlink="">
      <xdr:nvSpPr>
        <xdr:cNvPr id="23" name="Fluxograma: Documento 2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D1B821-3ECB-4952-AA36-72697EB89212}"/>
            </a:ext>
          </a:extLst>
        </xdr:cNvPr>
        <xdr:cNvSpPr/>
      </xdr:nvSpPr>
      <xdr:spPr>
        <a:xfrm>
          <a:off x="3067049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GERAL</a:t>
          </a:r>
        </a:p>
      </xdr:txBody>
    </xdr:sp>
    <xdr:clientData/>
  </xdr:twoCellAnchor>
  <xdr:twoCellAnchor>
    <xdr:from>
      <xdr:col>6</xdr:col>
      <xdr:colOff>76200</xdr:colOff>
      <xdr:row>0</xdr:row>
      <xdr:rowOff>28575</xdr:rowOff>
    </xdr:from>
    <xdr:to>
      <xdr:col>8</xdr:col>
      <xdr:colOff>142875</xdr:colOff>
      <xdr:row>3</xdr:row>
      <xdr:rowOff>69723</xdr:rowOff>
    </xdr:to>
    <xdr:sp macro="" textlink="">
      <xdr:nvSpPr>
        <xdr:cNvPr id="24" name="Fluxograma: Documento 2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2312C72-7210-4A17-8EDA-51DECB2559C3}"/>
            </a:ext>
          </a:extLst>
        </xdr:cNvPr>
        <xdr:cNvSpPr/>
      </xdr:nvSpPr>
      <xdr:spPr>
        <a:xfrm>
          <a:off x="4343400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MENSAIS</a:t>
          </a:r>
        </a:p>
      </xdr:txBody>
    </xdr:sp>
    <xdr:clientData/>
  </xdr:twoCellAnchor>
  <xdr:twoCellAnchor>
    <xdr:from>
      <xdr:col>8</xdr:col>
      <xdr:colOff>142875</xdr:colOff>
      <xdr:row>0</xdr:row>
      <xdr:rowOff>28575</xdr:rowOff>
    </xdr:from>
    <xdr:to>
      <xdr:col>10</xdr:col>
      <xdr:colOff>209550</xdr:colOff>
      <xdr:row>3</xdr:row>
      <xdr:rowOff>69723</xdr:rowOff>
    </xdr:to>
    <xdr:sp macro="" textlink="">
      <xdr:nvSpPr>
        <xdr:cNvPr id="25" name="Fluxograma: Documento 2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C6780D-B811-4F49-A830-69DF31E44936}"/>
            </a:ext>
          </a:extLst>
        </xdr:cNvPr>
        <xdr:cNvSpPr/>
      </xdr:nvSpPr>
      <xdr:spPr>
        <a:xfrm>
          <a:off x="5629275" y="28575"/>
          <a:ext cx="1285875" cy="612648"/>
        </a:xfrm>
        <a:prstGeom prst="flowChartDocumen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800" b="1">
              <a:solidFill>
                <a:schemeClr val="tx1"/>
              </a:solidFill>
              <a:latin typeface="+mn-lt"/>
              <a:ea typeface="+mn-ea"/>
              <a:cs typeface="+mn-cs"/>
            </a:rPr>
            <a:t>SEMANAIS</a:t>
          </a:r>
        </a:p>
      </xdr:txBody>
    </xdr:sp>
    <xdr:clientData/>
  </xdr:twoCellAnchor>
  <xdr:twoCellAnchor>
    <xdr:from>
      <xdr:col>10</xdr:col>
      <xdr:colOff>219075</xdr:colOff>
      <xdr:row>0</xdr:row>
      <xdr:rowOff>28575</xdr:rowOff>
    </xdr:from>
    <xdr:to>
      <xdr:col>12</xdr:col>
      <xdr:colOff>285750</xdr:colOff>
      <xdr:row>3</xdr:row>
      <xdr:rowOff>69723</xdr:rowOff>
    </xdr:to>
    <xdr:sp macro="" textlink="">
      <xdr:nvSpPr>
        <xdr:cNvPr id="26" name="Fluxograma: Documento 2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0BFDDCD-605C-4F09-A6EB-E8D2A518A06C}"/>
            </a:ext>
          </a:extLst>
        </xdr:cNvPr>
        <xdr:cNvSpPr/>
      </xdr:nvSpPr>
      <xdr:spPr>
        <a:xfrm>
          <a:off x="6924675" y="28575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FUNCION.</a:t>
          </a:r>
        </a:p>
      </xdr:txBody>
    </xdr:sp>
    <xdr:clientData/>
  </xdr:twoCellAnchor>
  <xdr:twoCellAnchor>
    <xdr:from>
      <xdr:col>12</xdr:col>
      <xdr:colOff>295275</xdr:colOff>
      <xdr:row>0</xdr:row>
      <xdr:rowOff>38100</xdr:rowOff>
    </xdr:from>
    <xdr:to>
      <xdr:col>14</xdr:col>
      <xdr:colOff>361950</xdr:colOff>
      <xdr:row>3</xdr:row>
      <xdr:rowOff>79248</xdr:rowOff>
    </xdr:to>
    <xdr:sp macro="" textlink="">
      <xdr:nvSpPr>
        <xdr:cNvPr id="27" name="Fluxograma: Documento 2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4C5E72D-39EF-4457-A458-3D384060EEF8}"/>
            </a:ext>
          </a:extLst>
        </xdr:cNvPr>
        <xdr:cNvSpPr/>
      </xdr:nvSpPr>
      <xdr:spPr>
        <a:xfrm>
          <a:off x="8220075" y="38100"/>
          <a:ext cx="1285875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CLIENTES</a:t>
          </a:r>
        </a:p>
      </xdr:txBody>
    </xdr:sp>
    <xdr:clientData/>
  </xdr:twoCellAnchor>
  <xdr:twoCellAnchor>
    <xdr:from>
      <xdr:col>14</xdr:col>
      <xdr:colOff>371475</xdr:colOff>
      <xdr:row>0</xdr:row>
      <xdr:rowOff>28575</xdr:rowOff>
    </xdr:from>
    <xdr:to>
      <xdr:col>16</xdr:col>
      <xdr:colOff>438150</xdr:colOff>
      <xdr:row>3</xdr:row>
      <xdr:rowOff>69723</xdr:rowOff>
    </xdr:to>
    <xdr:sp macro="" textlink="">
      <xdr:nvSpPr>
        <xdr:cNvPr id="28" name="Fluxograma: Documento 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30BACB1-6D7F-4046-A794-74AD72A7B230}"/>
            </a:ext>
          </a:extLst>
        </xdr:cNvPr>
        <xdr:cNvSpPr/>
      </xdr:nvSpPr>
      <xdr:spPr>
        <a:xfrm>
          <a:off x="9515475" y="28575"/>
          <a:ext cx="1504950" cy="612648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US" sz="1800" b="1">
              <a:solidFill>
                <a:schemeClr val="tx1"/>
              </a:solidFill>
            </a:rPr>
            <a:t>FORNECEDORES</a:t>
          </a:r>
        </a:p>
      </xdr:txBody>
    </xdr:sp>
    <xdr:clientData/>
  </xdr:twoCellAnchor>
  <xdr:oneCellAnchor>
    <xdr:from>
      <xdr:col>5</xdr:col>
      <xdr:colOff>76200</xdr:colOff>
      <xdr:row>3</xdr:row>
      <xdr:rowOff>161925</xdr:rowOff>
    </xdr:from>
    <xdr:ext cx="447675" cy="447675"/>
    <xdr:pic>
      <xdr:nvPicPr>
        <xdr:cNvPr id="29" name="Gráfico 28" descr="Gráfico de pizza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9F6996E-0278-4534-A544-64131E797E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733800" y="733425"/>
          <a:ext cx="447675" cy="447675"/>
        </a:xfrm>
        <a:prstGeom prst="rect">
          <a:avLst/>
        </a:prstGeom>
      </xdr:spPr>
    </xdr:pic>
    <xdr:clientData/>
  </xdr:oneCellAnchor>
  <xdr:oneCellAnchor>
    <xdr:from>
      <xdr:col>4</xdr:col>
      <xdr:colOff>123826</xdr:colOff>
      <xdr:row>3</xdr:row>
      <xdr:rowOff>180975</xdr:rowOff>
    </xdr:from>
    <xdr:ext cx="457200" cy="457200"/>
    <xdr:pic>
      <xdr:nvPicPr>
        <xdr:cNvPr id="30" name="Gráfico 29" descr="Pesquis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9FC39D-92E8-4E9F-B0F6-8FF0A7C8E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6" y="752475"/>
          <a:ext cx="457200" cy="457200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EEB1B6-E330-4B5C-B1F3-E0E8F036985F}" name="Tabela7" displayName="Tabela7" ref="A7:A30" totalsRowShown="0" headerRowDxfId="8" dataDxfId="7">
  <autoFilter ref="A7:A30" xr:uid="{F3EEB1B6-E330-4B5C-B1F3-E0E8F036985F}"/>
  <tableColumns count="1">
    <tableColumn id="1" xr3:uid="{7AC0A94F-9A9D-4B4D-9FF4-CD4F4C9C5218}" name="LISTA DE FORNECEDORES" dataDxfId="6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8ADCB-E3F9-4ABA-B1F9-B2FCAA536423}">
  <dimension ref="A1:Y23"/>
  <sheetViews>
    <sheetView showGridLines="0" showRowColHeaders="0" tabSelected="1" workbookViewId="0"/>
  </sheetViews>
  <sheetFormatPr defaultColWidth="0" defaultRowHeight="15" zeroHeight="1" x14ac:dyDescent="0.25"/>
  <cols>
    <col min="1" max="4" width="9.140625" customWidth="1"/>
    <col min="5" max="5" width="10.85546875" customWidth="1"/>
    <col min="6" max="7" width="9.140625" customWidth="1"/>
    <col min="8" max="8" width="9.7109375" customWidth="1"/>
    <col min="9" max="11" width="9.140625" customWidth="1"/>
    <col min="12" max="12" width="9.85546875" customWidth="1"/>
    <col min="13" max="13" width="9.140625" customWidth="1"/>
    <col min="14" max="14" width="10.140625" customWidth="1"/>
    <col min="15" max="15" width="9.7109375" customWidth="1"/>
    <col min="16" max="16" width="10.28515625" customWidth="1"/>
    <col min="17" max="17" width="6.7109375" customWidth="1"/>
    <col min="18" max="22" width="9.140625" customWidth="1"/>
    <col min="23" max="25" width="0" hidden="1" customWidth="1"/>
    <col min="26" max="16384" width="9.140625" hidden="1"/>
  </cols>
  <sheetData>
    <row r="1" spans="1:22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"/>
      <c r="S2" s="1"/>
      <c r="T2" s="1"/>
      <c r="U2" s="1"/>
      <c r="V2" s="1"/>
    </row>
    <row r="3" spans="1:22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1"/>
      <c r="S3" s="1"/>
      <c r="T3" s="1"/>
      <c r="U3" s="1"/>
      <c r="V3" s="1"/>
    </row>
    <row r="4" spans="1:22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1"/>
      <c r="S4" s="1"/>
      <c r="T4" s="1"/>
      <c r="U4" s="1"/>
      <c r="V4" s="1"/>
    </row>
    <row r="5" spans="1:22" ht="23.25" x14ac:dyDescent="0.3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3" t="s">
        <v>69</v>
      </c>
      <c r="Q5" s="2"/>
      <c r="R5" s="1"/>
      <c r="S5" s="1"/>
      <c r="T5" s="1"/>
      <c r="U5" s="1"/>
      <c r="V5" s="1"/>
    </row>
    <row r="6" spans="1:22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1"/>
      <c r="S6" s="1"/>
      <c r="T6" s="1"/>
      <c r="U6" s="1"/>
      <c r="V6" s="1"/>
    </row>
    <row r="7" spans="1:2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ht="30" customHeight="1" x14ac:dyDescent="0.25">
      <c r="A9" s="1"/>
      <c r="B9" s="1"/>
      <c r="C9" s="1"/>
      <c r="D9" s="1"/>
      <c r="E9" s="52" t="s">
        <v>0</v>
      </c>
      <c r="F9" s="53"/>
      <c r="G9" s="53"/>
      <c r="H9" s="1"/>
      <c r="I9" s="1"/>
      <c r="J9" s="1"/>
      <c r="K9" s="1"/>
      <c r="L9" s="1"/>
      <c r="M9" s="9"/>
      <c r="N9" s="1"/>
      <c r="O9" s="1"/>
      <c r="P9" s="1"/>
      <c r="Q9" s="1"/>
      <c r="R9" s="1"/>
      <c r="S9" s="1"/>
      <c r="T9" s="1"/>
      <c r="U9" s="1"/>
      <c r="V9" s="1"/>
    </row>
    <row r="10" spans="1:22" ht="30" x14ac:dyDescent="0.4">
      <c r="A10" s="1"/>
      <c r="B10" s="1"/>
      <c r="C10" s="1"/>
      <c r="D10" s="1"/>
      <c r="E10" s="3"/>
      <c r="F10" s="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23.25" x14ac:dyDescent="0.25">
      <c r="A11" s="1"/>
      <c r="B11" s="1"/>
      <c r="C11" s="1"/>
      <c r="D11" s="1"/>
      <c r="E11" s="55" t="s">
        <v>53</v>
      </c>
      <c r="F11" s="55"/>
      <c r="G11" s="55"/>
      <c r="H11" s="55" t="s">
        <v>54</v>
      </c>
      <c r="I11" s="55"/>
      <c r="J11" s="55"/>
      <c r="K11" s="55" t="s">
        <v>2</v>
      </c>
      <c r="L11" s="55"/>
      <c r="M11" s="55"/>
      <c r="N11" s="55" t="s">
        <v>3</v>
      </c>
      <c r="O11" s="55"/>
      <c r="P11" s="55"/>
      <c r="Q11" s="55" t="s">
        <v>1</v>
      </c>
      <c r="R11" s="55"/>
      <c r="S11" s="55"/>
      <c r="T11" s="1"/>
      <c r="U11" s="1"/>
      <c r="V11" s="1"/>
    </row>
    <row r="12" spans="1:22" ht="15" customHeight="1" x14ac:dyDescent="0.25">
      <c r="A12" s="1"/>
      <c r="B12" s="1"/>
      <c r="C12" s="1"/>
      <c r="D12" s="1"/>
      <c r="E12" s="94">
        <f>Fixos!O11</f>
        <v>1000</v>
      </c>
      <c r="F12" s="94"/>
      <c r="G12" s="94"/>
      <c r="H12" s="95">
        <v>72</v>
      </c>
      <c r="I12" s="95"/>
      <c r="J12" s="95"/>
      <c r="K12" s="94">
        <f>Funcionario!S12</f>
        <v>1800</v>
      </c>
      <c r="L12" s="94"/>
      <c r="M12" s="94"/>
      <c r="N12" s="94">
        <f>Clientes!R11</f>
        <v>250</v>
      </c>
      <c r="O12" s="94"/>
      <c r="P12" s="94"/>
      <c r="Q12" s="94">
        <f>Fornecedores!Q36</f>
        <v>1550</v>
      </c>
      <c r="R12" s="94"/>
      <c r="S12" s="94"/>
      <c r="T12" s="43"/>
      <c r="U12" s="43"/>
      <c r="V12" s="43"/>
    </row>
    <row r="13" spans="1:22" ht="15" customHeight="1" x14ac:dyDescent="0.25">
      <c r="A13" s="1"/>
      <c r="B13" s="1"/>
      <c r="C13" s="1"/>
      <c r="D13" s="1"/>
      <c r="E13" s="94"/>
      <c r="F13" s="94"/>
      <c r="G13" s="94"/>
      <c r="H13" s="95"/>
      <c r="I13" s="95"/>
      <c r="J13" s="95"/>
      <c r="K13" s="94"/>
      <c r="L13" s="94"/>
      <c r="M13" s="94"/>
      <c r="N13" s="94"/>
      <c r="O13" s="94"/>
      <c r="P13" s="94"/>
      <c r="Q13" s="94"/>
      <c r="R13" s="94"/>
      <c r="S13" s="94"/>
      <c r="T13" s="43"/>
      <c r="U13" s="43"/>
      <c r="V13" s="43"/>
    </row>
    <row r="14" spans="1:22" x14ac:dyDescent="0.25">
      <c r="A14" s="1"/>
      <c r="B14" s="1"/>
      <c r="C14" s="1"/>
      <c r="D14" s="1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43"/>
      <c r="U14" s="43"/>
      <c r="V14" s="43"/>
    </row>
    <row r="15" spans="1:22" x14ac:dyDescent="0.25">
      <c r="A15" s="1"/>
      <c r="B15" s="1"/>
      <c r="C15" s="1"/>
      <c r="D15" s="1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43"/>
      <c r="U15" s="43"/>
      <c r="V15" s="43"/>
    </row>
    <row r="16" spans="1:22" ht="30" x14ac:dyDescent="0.4">
      <c r="A16" s="1"/>
      <c r="B16" s="1"/>
      <c r="C16" s="1"/>
      <c r="D16" s="1"/>
      <c r="E16" s="54" t="s">
        <v>4</v>
      </c>
      <c r="F16" s="54"/>
      <c r="G16" s="54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43"/>
      <c r="U16" s="43"/>
      <c r="V16" s="43"/>
    </row>
    <row r="17" spans="1:22" x14ac:dyDescent="0.25">
      <c r="A17" s="1"/>
      <c r="B17" s="1"/>
      <c r="C17" s="1"/>
      <c r="D17" s="1"/>
      <c r="E17" s="51"/>
      <c r="F17" s="51"/>
      <c r="G17" s="51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43"/>
      <c r="U17" s="43"/>
      <c r="V17" s="43"/>
    </row>
    <row r="18" spans="1:22" ht="28.5" x14ac:dyDescent="0.45">
      <c r="A18" s="1"/>
      <c r="B18" s="1"/>
      <c r="C18" s="1"/>
      <c r="D18" s="1"/>
      <c r="E18" s="93">
        <f>SUM(E12:S13)</f>
        <v>4672</v>
      </c>
      <c r="F18" s="93"/>
      <c r="G18" s="93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43"/>
      <c r="U18" s="43"/>
      <c r="V18" s="43"/>
    </row>
    <row r="19" spans="1:22" x14ac:dyDescent="0.25">
      <c r="A19" s="1"/>
      <c r="B19" s="1"/>
      <c r="C19" s="1"/>
      <c r="D19" s="1"/>
      <c r="E19" s="8"/>
      <c r="F19" s="8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</row>
    <row r="20" spans="1:22" x14ac:dyDescent="0.25">
      <c r="A20" s="1"/>
      <c r="B20" s="1"/>
      <c r="C20" s="1"/>
      <c r="D20" s="1"/>
      <c r="E20" s="8"/>
      <c r="F20" s="8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</row>
    <row r="21" spans="1:2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</row>
    <row r="22" spans="1:2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</row>
    <row r="23" spans="1:2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</sheetData>
  <mergeCells count="13">
    <mergeCell ref="E18:G18"/>
    <mergeCell ref="Q11:S11"/>
    <mergeCell ref="K11:M11"/>
    <mergeCell ref="Q12:S13"/>
    <mergeCell ref="K12:M13"/>
    <mergeCell ref="N11:P11"/>
    <mergeCell ref="H11:J11"/>
    <mergeCell ref="E11:G11"/>
    <mergeCell ref="E9:G9"/>
    <mergeCell ref="H12:J13"/>
    <mergeCell ref="N12:P13"/>
    <mergeCell ref="E12:G13"/>
    <mergeCell ref="E16:G1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9631-D768-4F32-96C2-4BE0B5ECBE61}">
  <sheetPr codeName="Planilha7"/>
  <dimension ref="A1:X78"/>
  <sheetViews>
    <sheetView workbookViewId="0">
      <selection activeCell="M18" sqref="M18"/>
    </sheetView>
  </sheetViews>
  <sheetFormatPr defaultColWidth="0" defaultRowHeight="15" x14ac:dyDescent="0.25"/>
  <cols>
    <col min="1" max="23" width="9.140625" customWidth="1"/>
    <col min="24" max="24" width="0" hidden="1" customWidth="1"/>
    <col min="25" max="16384" width="9.140625" hidden="1"/>
  </cols>
  <sheetData>
    <row r="1" spans="1:23" x14ac:dyDescent="0.25">
      <c r="A1" s="43"/>
      <c r="B1" s="43"/>
      <c r="C1" s="43"/>
      <c r="D1" s="43"/>
      <c r="E1" s="43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43"/>
      <c r="T1" s="43"/>
      <c r="U1" s="43"/>
      <c r="V1" s="43"/>
      <c r="W1" s="43"/>
    </row>
    <row r="2" spans="1:23" x14ac:dyDescent="0.25">
      <c r="A2" s="43"/>
      <c r="B2" s="43"/>
      <c r="C2" s="43"/>
      <c r="D2" s="43"/>
      <c r="E2" s="43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43"/>
      <c r="T2" s="43"/>
      <c r="U2" s="43"/>
      <c r="V2" s="43"/>
      <c r="W2" s="43"/>
    </row>
    <row r="3" spans="1:23" x14ac:dyDescent="0.25">
      <c r="A3" s="43"/>
      <c r="B3" s="43"/>
      <c r="C3" s="43"/>
      <c r="D3" s="43"/>
      <c r="E3" s="43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43"/>
      <c r="T3" s="43"/>
      <c r="U3" s="43"/>
      <c r="V3" s="43"/>
      <c r="W3" s="43"/>
    </row>
    <row r="4" spans="1:23" x14ac:dyDescent="0.25">
      <c r="A4" s="43"/>
      <c r="B4" s="43"/>
      <c r="C4" s="43"/>
      <c r="D4" s="43"/>
      <c r="E4" s="43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43"/>
      <c r="T4" s="43"/>
      <c r="U4" s="43"/>
      <c r="V4" s="43"/>
      <c r="W4" s="43"/>
    </row>
    <row r="5" spans="1:23" ht="23.25" x14ac:dyDescent="0.35">
      <c r="A5" s="43"/>
      <c r="B5" s="43"/>
      <c r="C5" s="43"/>
      <c r="D5" s="43"/>
      <c r="E5" s="43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3" t="s">
        <v>37</v>
      </c>
      <c r="R5" s="2"/>
      <c r="S5" s="43"/>
      <c r="T5" s="43"/>
      <c r="U5" s="43"/>
      <c r="V5" s="43"/>
      <c r="W5" s="43"/>
    </row>
    <row r="6" spans="1:23" x14ac:dyDescent="0.25">
      <c r="A6" s="43"/>
      <c r="B6" s="43"/>
      <c r="C6" s="43"/>
      <c r="D6" s="43"/>
      <c r="E6" s="43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43"/>
      <c r="T6" s="43"/>
      <c r="U6" s="43"/>
      <c r="V6" s="43"/>
      <c r="W6" s="43"/>
    </row>
    <row r="7" spans="1:23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ht="30" x14ac:dyDescent="0.4">
      <c r="A8" s="1"/>
      <c r="B8" s="3"/>
      <c r="C8" s="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ht="30" x14ac:dyDescent="0.4">
      <c r="A9" s="1"/>
      <c r="B9" s="3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ht="23.25" x14ac:dyDescent="0.35">
      <c r="A10" s="1"/>
      <c r="B10" s="58"/>
      <c r="C10" s="58"/>
      <c r="D10" s="58"/>
      <c r="E10" s="58"/>
      <c r="F10" s="58"/>
      <c r="G10" s="58"/>
      <c r="H10" s="58"/>
      <c r="I10" s="58"/>
      <c r="J10" s="59"/>
      <c r="K10" s="59"/>
      <c r="L10" s="5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1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1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ht="30" x14ac:dyDescent="0.4">
      <c r="A15" s="1"/>
      <c r="B15" s="7"/>
      <c r="C15" s="6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1"/>
      <c r="B16" s="6"/>
      <c r="C16" s="6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ht="28.5" x14ac:dyDescent="0.45">
      <c r="A17" s="1"/>
      <c r="B17" s="57"/>
      <c r="C17" s="57"/>
      <c r="D17" s="57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1"/>
      <c r="B18" s="8"/>
      <c r="C18" s="8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1"/>
      <c r="B19" s="8"/>
      <c r="C19" s="8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ht="13.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</row>
    <row r="43" spans="1:23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</row>
    <row r="44" spans="1:23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</row>
    <row r="45" spans="1:23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</row>
    <row r="46" spans="1:23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</row>
    <row r="47" spans="1:23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</row>
    <row r="48" spans="1:23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</row>
    <row r="49" spans="1:23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</row>
    <row r="50" spans="1:23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</row>
    <row r="51" spans="1:23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</row>
    <row r="52" spans="1:23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</row>
    <row r="53" spans="1:23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</row>
    <row r="54" spans="1:23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</row>
    <row r="55" spans="1:23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</row>
    <row r="56" spans="1:23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</row>
    <row r="57" spans="1:23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</row>
    <row r="58" spans="1:23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</row>
    <row r="59" spans="1:23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</row>
    <row r="60" spans="1:23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</row>
    <row r="61" spans="1:23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</row>
    <row r="62" spans="1:23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</row>
    <row r="63" spans="1:23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</row>
    <row r="64" spans="1:23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</row>
    <row r="65" spans="1:23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</row>
    <row r="66" spans="1:23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</row>
    <row r="67" spans="1:23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</row>
    <row r="68" spans="1:23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</row>
    <row r="69" spans="1:23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</row>
    <row r="70" spans="1:23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</row>
    <row r="71" spans="1:23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</row>
    <row r="72" spans="1:23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</row>
    <row r="73" spans="1:23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</row>
    <row r="74" spans="1:23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</row>
    <row r="75" spans="1:23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</row>
    <row r="76" spans="1:23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</row>
    <row r="77" spans="1:23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</row>
    <row r="78" spans="1:23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</row>
  </sheetData>
  <mergeCells count="10">
    <mergeCell ref="L11:M12"/>
    <mergeCell ref="B17:D17"/>
    <mergeCell ref="B10:C10"/>
    <mergeCell ref="D10:F10"/>
    <mergeCell ref="G10:I10"/>
    <mergeCell ref="J10:K10"/>
    <mergeCell ref="B11:C12"/>
    <mergeCell ref="D11:F12"/>
    <mergeCell ref="G11:I12"/>
    <mergeCell ref="J11:K12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429C9-3C57-412E-9A25-6269BEE779CB}">
  <dimension ref="A1:W25"/>
  <sheetViews>
    <sheetView showGridLines="0" showRowColHeaders="0" workbookViewId="0"/>
  </sheetViews>
  <sheetFormatPr defaultColWidth="0" defaultRowHeight="15" zeroHeight="1" x14ac:dyDescent="0.25"/>
  <cols>
    <col min="1" max="14" width="9.140625" customWidth="1"/>
    <col min="15" max="15" width="14.85546875" customWidth="1"/>
    <col min="16" max="16" width="6.7109375" customWidth="1"/>
    <col min="17" max="21" width="9.140625" customWidth="1"/>
    <col min="22" max="23" width="0" hidden="1" customWidth="1"/>
    <col min="24" max="16384" width="9.140625" hidden="1"/>
  </cols>
  <sheetData>
    <row r="1" spans="1:22" x14ac:dyDescent="0.25">
      <c r="A1" s="43"/>
      <c r="B1" s="43"/>
      <c r="C1" s="43"/>
      <c r="D1" s="4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3"/>
      <c r="S1" s="43"/>
      <c r="T1" s="43"/>
      <c r="U1" s="43"/>
      <c r="V1" s="43"/>
    </row>
    <row r="2" spans="1:22" x14ac:dyDescent="0.25">
      <c r="A2" s="43"/>
      <c r="B2" s="43"/>
      <c r="C2" s="43"/>
      <c r="D2" s="43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43"/>
      <c r="S2" s="43"/>
      <c r="T2" s="43"/>
      <c r="U2" s="43"/>
      <c r="V2" s="43"/>
    </row>
    <row r="3" spans="1:22" x14ac:dyDescent="0.25">
      <c r="A3" s="43"/>
      <c r="B3" s="43"/>
      <c r="C3" s="43"/>
      <c r="D3" s="43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43"/>
      <c r="S3" s="43"/>
      <c r="T3" s="43"/>
      <c r="U3" s="43"/>
      <c r="V3" s="43"/>
    </row>
    <row r="4" spans="1:22" x14ac:dyDescent="0.25">
      <c r="A4" s="43"/>
      <c r="B4" s="43"/>
      <c r="C4" s="43"/>
      <c r="D4" s="43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43"/>
      <c r="S4" s="43"/>
      <c r="T4" s="43"/>
      <c r="U4" s="43"/>
      <c r="V4" s="43"/>
    </row>
    <row r="5" spans="1:22" ht="23.25" x14ac:dyDescent="0.35">
      <c r="A5" s="43"/>
      <c r="B5" s="43"/>
      <c r="C5" s="43"/>
      <c r="D5" s="43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3" t="s">
        <v>68</v>
      </c>
      <c r="Q5" s="2"/>
      <c r="R5" s="43"/>
      <c r="S5" s="43"/>
      <c r="T5" s="43"/>
      <c r="U5" s="43"/>
      <c r="V5" s="43"/>
    </row>
    <row r="6" spans="1:22" x14ac:dyDescent="0.25">
      <c r="A6" s="43"/>
      <c r="B6" s="43"/>
      <c r="C6" s="43"/>
      <c r="D6" s="43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43"/>
      <c r="S6" s="43"/>
      <c r="T6" s="43"/>
      <c r="U6" s="43"/>
      <c r="V6" s="43"/>
    </row>
    <row r="7" spans="1:2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2" ht="24" thickBot="1" x14ac:dyDescent="0.3">
      <c r="A9" s="1"/>
      <c r="B9" s="1"/>
      <c r="C9" s="1"/>
      <c r="D9" s="1"/>
      <c r="E9" s="40" t="s">
        <v>5</v>
      </c>
      <c r="F9" s="40"/>
      <c r="G9" s="63" t="s">
        <v>6</v>
      </c>
      <c r="H9" s="63"/>
      <c r="I9" s="63"/>
      <c r="J9" s="63"/>
      <c r="K9" s="63" t="s">
        <v>7</v>
      </c>
      <c r="L9" s="63"/>
      <c r="M9" s="8"/>
      <c r="N9" s="8"/>
      <c r="O9" s="37" t="s">
        <v>4</v>
      </c>
      <c r="P9" s="10"/>
      <c r="Q9" s="1"/>
      <c r="R9" s="1"/>
      <c r="S9" s="1"/>
      <c r="T9" s="1"/>
      <c r="U9" s="1"/>
    </row>
    <row r="10" spans="1:22" ht="15" customHeight="1" thickTop="1" thickBot="1" x14ac:dyDescent="0.3">
      <c r="A10" s="1"/>
      <c r="B10" s="1"/>
      <c r="C10" s="1"/>
      <c r="D10" s="1"/>
      <c r="E10" s="60" t="s">
        <v>8</v>
      </c>
      <c r="F10" s="60"/>
      <c r="G10" s="62"/>
      <c r="H10" s="62"/>
      <c r="I10" s="62"/>
      <c r="J10" s="62"/>
      <c r="K10" s="61">
        <v>700</v>
      </c>
      <c r="L10" s="61"/>
      <c r="M10" s="1"/>
      <c r="N10" s="1"/>
      <c r="O10" s="10"/>
      <c r="P10" s="10"/>
      <c r="Q10" s="1"/>
      <c r="R10" s="1"/>
      <c r="S10" s="1"/>
      <c r="T10" s="1"/>
      <c r="U10" s="1"/>
    </row>
    <row r="11" spans="1:22" ht="15" customHeight="1" thickBot="1" x14ac:dyDescent="0.3">
      <c r="A11" s="1"/>
      <c r="B11" s="1"/>
      <c r="C11" s="1"/>
      <c r="D11" s="1"/>
      <c r="E11" s="60"/>
      <c r="F11" s="60"/>
      <c r="G11" s="62"/>
      <c r="H11" s="62"/>
      <c r="I11" s="62"/>
      <c r="J11" s="62"/>
      <c r="K11" s="61"/>
      <c r="L11" s="61"/>
      <c r="M11" s="1"/>
      <c r="N11" s="1"/>
      <c r="O11" s="32">
        <f>SUM(K10:L21)</f>
        <v>1000</v>
      </c>
      <c r="P11" s="10"/>
      <c r="Q11" s="1"/>
      <c r="R11" s="1"/>
      <c r="S11" s="1"/>
      <c r="T11" s="1"/>
      <c r="U11" s="1"/>
    </row>
    <row r="12" spans="1:22" ht="15.75" thickBot="1" x14ac:dyDescent="0.3">
      <c r="A12" s="1"/>
      <c r="B12" s="1"/>
      <c r="C12" s="1"/>
      <c r="D12" s="1"/>
      <c r="E12" s="60" t="s">
        <v>9</v>
      </c>
      <c r="F12" s="60"/>
      <c r="G12" s="62"/>
      <c r="H12" s="62"/>
      <c r="I12" s="62"/>
      <c r="J12" s="62"/>
      <c r="K12" s="61">
        <v>100</v>
      </c>
      <c r="L12" s="61"/>
      <c r="M12" s="1"/>
      <c r="N12" s="1"/>
      <c r="O12" s="1"/>
      <c r="P12" s="1"/>
      <c r="Q12" s="1"/>
      <c r="R12" s="1"/>
      <c r="S12" s="1"/>
      <c r="T12" s="1"/>
      <c r="U12" s="1"/>
    </row>
    <row r="13" spans="1:22" ht="15.75" thickBot="1" x14ac:dyDescent="0.3">
      <c r="A13" s="1"/>
      <c r="B13" s="1"/>
      <c r="C13" s="1"/>
      <c r="D13" s="1"/>
      <c r="E13" s="60"/>
      <c r="F13" s="60"/>
      <c r="G13" s="62"/>
      <c r="H13" s="62"/>
      <c r="I13" s="62"/>
      <c r="J13" s="62"/>
      <c r="K13" s="61"/>
      <c r="L13" s="61"/>
      <c r="M13" s="1"/>
      <c r="N13" s="1"/>
      <c r="O13" s="1"/>
      <c r="P13" s="1"/>
      <c r="Q13" s="1"/>
      <c r="R13" s="1"/>
      <c r="S13" s="1"/>
      <c r="T13" s="1"/>
      <c r="U13" s="1"/>
    </row>
    <row r="14" spans="1:22" ht="15.75" thickBot="1" x14ac:dyDescent="0.3">
      <c r="A14" s="1"/>
      <c r="B14" s="1"/>
      <c r="C14" s="1"/>
      <c r="D14" s="1"/>
      <c r="E14" s="60" t="s">
        <v>10</v>
      </c>
      <c r="F14" s="60"/>
      <c r="G14" s="62"/>
      <c r="H14" s="62"/>
      <c r="I14" s="62"/>
      <c r="J14" s="62"/>
      <c r="K14" s="61">
        <v>200</v>
      </c>
      <c r="L14" s="61"/>
      <c r="M14" s="1"/>
      <c r="N14" s="1"/>
      <c r="O14" s="1"/>
      <c r="P14" s="1"/>
      <c r="Q14" s="1"/>
      <c r="R14" s="1"/>
      <c r="S14" s="1"/>
      <c r="T14" s="1"/>
      <c r="U14" s="1"/>
    </row>
    <row r="15" spans="1:22" ht="15.75" thickBot="1" x14ac:dyDescent="0.3">
      <c r="A15" s="1"/>
      <c r="B15" s="1"/>
      <c r="C15" s="1"/>
      <c r="D15" s="1"/>
      <c r="E15" s="60"/>
      <c r="F15" s="60"/>
      <c r="G15" s="62"/>
      <c r="H15" s="62"/>
      <c r="I15" s="62"/>
      <c r="J15" s="62"/>
      <c r="K15" s="61"/>
      <c r="L15" s="61"/>
      <c r="M15" s="1"/>
      <c r="N15" s="1"/>
      <c r="O15" s="1"/>
      <c r="P15" s="1"/>
      <c r="Q15" s="1"/>
      <c r="R15" s="1"/>
      <c r="S15" s="1"/>
      <c r="T15" s="1"/>
      <c r="U15" s="1"/>
    </row>
    <row r="16" spans="1:22" ht="15.75" thickBot="1" x14ac:dyDescent="0.3">
      <c r="A16" s="1"/>
      <c r="B16" s="1"/>
      <c r="C16" s="1"/>
      <c r="D16" s="1"/>
      <c r="E16" s="60" t="s">
        <v>11</v>
      </c>
      <c r="F16" s="60"/>
      <c r="G16" s="62"/>
      <c r="H16" s="62"/>
      <c r="I16" s="62"/>
      <c r="J16" s="62"/>
      <c r="K16" s="61"/>
      <c r="L16" s="61"/>
      <c r="M16" s="1"/>
      <c r="N16" s="1"/>
      <c r="O16" s="1"/>
      <c r="P16" s="1"/>
      <c r="Q16" s="1"/>
      <c r="R16" s="1"/>
      <c r="S16" s="1"/>
      <c r="T16" s="1"/>
      <c r="U16" s="1"/>
    </row>
    <row r="17" spans="1:21" ht="15.75" thickBot="1" x14ac:dyDescent="0.3">
      <c r="A17" s="1"/>
      <c r="B17" s="1"/>
      <c r="C17" s="1"/>
      <c r="D17" s="1"/>
      <c r="E17" s="60"/>
      <c r="F17" s="60"/>
      <c r="G17" s="62"/>
      <c r="H17" s="62"/>
      <c r="I17" s="62"/>
      <c r="J17" s="62"/>
      <c r="K17" s="61"/>
      <c r="L17" s="61"/>
      <c r="M17" s="1"/>
      <c r="N17" s="1"/>
      <c r="O17" s="1"/>
      <c r="P17" s="1"/>
      <c r="Q17" s="1"/>
      <c r="R17" s="1"/>
      <c r="S17" s="1"/>
      <c r="T17" s="1"/>
      <c r="U17" s="1"/>
    </row>
    <row r="18" spans="1:21" ht="18.75" customHeight="1" thickBot="1" x14ac:dyDescent="0.3">
      <c r="A18" s="1"/>
      <c r="B18" s="1"/>
      <c r="C18" s="1"/>
      <c r="D18" s="1"/>
      <c r="E18" s="60" t="s">
        <v>49</v>
      </c>
      <c r="F18" s="60"/>
      <c r="G18" s="62"/>
      <c r="H18" s="62"/>
      <c r="I18" s="62"/>
      <c r="J18" s="62"/>
      <c r="K18" s="61">
        <v>0</v>
      </c>
      <c r="L18" s="61"/>
      <c r="M18" s="1"/>
      <c r="N18" s="1"/>
      <c r="O18" s="1"/>
      <c r="P18" s="1"/>
      <c r="Q18" s="1"/>
      <c r="R18" s="1"/>
      <c r="S18" s="1"/>
      <c r="T18" s="1"/>
      <c r="U18" s="1"/>
    </row>
    <row r="19" spans="1:21" ht="18.75" customHeight="1" thickBot="1" x14ac:dyDescent="0.3">
      <c r="A19" s="1"/>
      <c r="B19" s="1"/>
      <c r="C19" s="1"/>
      <c r="D19" s="1"/>
      <c r="E19" s="60"/>
      <c r="F19" s="60"/>
      <c r="G19" s="62"/>
      <c r="H19" s="62"/>
      <c r="I19" s="62"/>
      <c r="J19" s="62"/>
      <c r="K19" s="61"/>
      <c r="L19" s="61"/>
      <c r="M19" s="1"/>
      <c r="N19" s="1"/>
      <c r="O19" s="1"/>
      <c r="P19" s="1"/>
      <c r="Q19" s="1"/>
      <c r="R19" s="1"/>
      <c r="S19" s="1"/>
      <c r="T19" s="1"/>
      <c r="U19" s="1"/>
    </row>
    <row r="20" spans="1:21" ht="15.75" customHeight="1" thickBot="1" x14ac:dyDescent="0.3">
      <c r="A20" s="1"/>
      <c r="B20" s="1"/>
      <c r="C20" s="1"/>
      <c r="D20" s="1"/>
      <c r="E20" s="60" t="s">
        <v>49</v>
      </c>
      <c r="F20" s="60"/>
      <c r="G20" s="62"/>
      <c r="H20" s="62"/>
      <c r="I20" s="62"/>
      <c r="J20" s="62"/>
      <c r="K20" s="61">
        <v>0</v>
      </c>
      <c r="L20" s="61"/>
      <c r="M20" s="1"/>
      <c r="N20" s="1"/>
      <c r="O20" s="1"/>
      <c r="P20" s="1"/>
      <c r="Q20" s="1"/>
      <c r="R20" s="1"/>
      <c r="S20" s="1"/>
      <c r="T20" s="1"/>
      <c r="U20" s="1"/>
    </row>
    <row r="21" spans="1:21" ht="15.75" customHeight="1" thickBot="1" x14ac:dyDescent="0.3">
      <c r="A21" s="1"/>
      <c r="B21" s="1"/>
      <c r="C21" s="1"/>
      <c r="D21" s="1"/>
      <c r="E21" s="60"/>
      <c r="F21" s="60"/>
      <c r="G21" s="62"/>
      <c r="H21" s="62"/>
      <c r="I21" s="62"/>
      <c r="J21" s="62"/>
      <c r="K21" s="61"/>
      <c r="L21" s="61"/>
      <c r="M21" s="1"/>
      <c r="N21" s="1"/>
      <c r="O21" s="1"/>
      <c r="P21" s="1"/>
      <c r="Q21" s="1"/>
      <c r="R21" s="1"/>
      <c r="S21" s="1"/>
      <c r="T21" s="1"/>
      <c r="U21" s="1"/>
    </row>
    <row r="22" spans="1:21" ht="16.5" customHeight="1" thickBot="1" x14ac:dyDescent="0.3">
      <c r="A22" s="1"/>
      <c r="B22" s="1"/>
      <c r="C22" s="1"/>
      <c r="D22" s="1"/>
      <c r="E22" s="60" t="s">
        <v>49</v>
      </c>
      <c r="F22" s="60"/>
      <c r="G22" s="62"/>
      <c r="H22" s="62"/>
      <c r="I22" s="62"/>
      <c r="J22" s="62"/>
      <c r="K22" s="61">
        <v>0</v>
      </c>
      <c r="L22" s="61"/>
      <c r="M22" s="1"/>
      <c r="N22" s="1"/>
      <c r="O22" s="1"/>
      <c r="P22" s="1"/>
      <c r="Q22" s="1"/>
      <c r="R22" s="1"/>
      <c r="S22" s="1"/>
      <c r="T22" s="1"/>
      <c r="U22" s="1"/>
    </row>
    <row r="23" spans="1:21" ht="15" customHeight="1" thickBot="1" x14ac:dyDescent="0.3">
      <c r="A23" s="1"/>
      <c r="B23" s="1"/>
      <c r="C23" s="1"/>
      <c r="D23" s="1"/>
      <c r="E23" s="60"/>
      <c r="F23" s="60"/>
      <c r="G23" s="62"/>
      <c r="H23" s="62"/>
      <c r="I23" s="62"/>
      <c r="J23" s="62"/>
      <c r="K23" s="61"/>
      <c r="L23" s="61"/>
      <c r="M23" s="1"/>
      <c r="N23" s="1"/>
      <c r="O23" s="1"/>
      <c r="P23" s="1"/>
      <c r="Q23" s="1"/>
      <c r="R23" s="1"/>
      <c r="S23" s="1"/>
      <c r="T23" s="1"/>
      <c r="U23" s="1"/>
    </row>
    <row r="24" spans="1:21" ht="15" customHeight="1" thickBot="1" x14ac:dyDescent="0.3">
      <c r="A24" s="1"/>
      <c r="B24" s="1"/>
      <c r="C24" s="1"/>
      <c r="D24" s="1"/>
      <c r="E24" s="47"/>
      <c r="F24" s="47"/>
      <c r="G24" s="62"/>
      <c r="H24" s="62"/>
      <c r="I24" s="62"/>
      <c r="J24" s="62"/>
      <c r="K24" s="49"/>
      <c r="L24" s="49"/>
      <c r="M24" s="1"/>
      <c r="N24" s="1"/>
      <c r="O24" s="1"/>
      <c r="P24" s="1"/>
      <c r="Q24" s="1"/>
      <c r="R24" s="1"/>
      <c r="S24" s="1"/>
      <c r="T24" s="1"/>
      <c r="U24" s="1"/>
    </row>
    <row r="25" spans="1:21" ht="18.75" x14ac:dyDescent="0.3">
      <c r="A25" s="1"/>
      <c r="B25" s="1"/>
      <c r="C25" s="1"/>
      <c r="D25" s="1"/>
      <c r="E25" s="31"/>
      <c r="F25" s="31"/>
      <c r="G25" s="1"/>
      <c r="H25" s="1"/>
      <c r="I25" s="1"/>
      <c r="J25" s="1"/>
      <c r="K25" s="31"/>
      <c r="L25" s="31"/>
      <c r="M25" s="1"/>
      <c r="N25" s="1"/>
      <c r="O25" s="1"/>
      <c r="P25" s="1"/>
      <c r="Q25" s="1"/>
      <c r="R25" s="1"/>
      <c r="S25" s="1"/>
      <c r="T25" s="1"/>
      <c r="U25" s="1"/>
    </row>
  </sheetData>
  <mergeCells count="23">
    <mergeCell ref="K20:L21"/>
    <mergeCell ref="E18:F19"/>
    <mergeCell ref="G9:J9"/>
    <mergeCell ref="K9:L9"/>
    <mergeCell ref="E10:F11"/>
    <mergeCell ref="G10:J11"/>
    <mergeCell ref="K10:L11"/>
    <mergeCell ref="E22:F23"/>
    <mergeCell ref="K22:L23"/>
    <mergeCell ref="E12:F13"/>
    <mergeCell ref="G12:J13"/>
    <mergeCell ref="K12:L13"/>
    <mergeCell ref="G22:J24"/>
    <mergeCell ref="E14:F15"/>
    <mergeCell ref="G14:J15"/>
    <mergeCell ref="K14:L15"/>
    <mergeCell ref="E16:F17"/>
    <mergeCell ref="G16:J17"/>
    <mergeCell ref="K16:L17"/>
    <mergeCell ref="G18:J19"/>
    <mergeCell ref="K18:L19"/>
    <mergeCell ref="E20:F21"/>
    <mergeCell ref="G20:J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B3BD8-8D44-4E65-8EAD-25BC2123EB1D}">
  <sheetPr codeName="Planilha3"/>
  <dimension ref="A1:W27"/>
  <sheetViews>
    <sheetView showGridLines="0" showRowColHeaders="0" workbookViewId="0"/>
  </sheetViews>
  <sheetFormatPr defaultColWidth="0" defaultRowHeight="15" zeroHeight="1" x14ac:dyDescent="0.25"/>
  <cols>
    <col min="1" max="1" width="9.42578125" customWidth="1"/>
    <col min="2" max="2" width="9.28515625" customWidth="1"/>
    <col min="3" max="3" width="11.85546875" customWidth="1"/>
    <col min="4" max="4" width="9.140625" customWidth="1"/>
    <col min="5" max="5" width="12" customWidth="1"/>
    <col min="6" max="6" width="12.42578125" customWidth="1"/>
    <col min="7" max="7" width="9.28515625" customWidth="1"/>
    <col min="8" max="8" width="11.42578125" customWidth="1"/>
    <col min="9" max="9" width="9.85546875" customWidth="1"/>
    <col min="10" max="10" width="9.140625" customWidth="1"/>
    <col min="11" max="11" width="11" customWidth="1"/>
    <col min="12" max="15" width="9.140625" customWidth="1"/>
    <col min="16" max="16" width="6.85546875" customWidth="1"/>
    <col min="17" max="18" width="9.140625" customWidth="1"/>
    <col min="19" max="19" width="15.140625" bestFit="1" customWidth="1"/>
    <col min="20" max="21" width="9.140625" customWidth="1"/>
    <col min="22" max="23" width="0" hidden="1" customWidth="1"/>
    <col min="24" max="16384" width="9.140625" hidden="1"/>
  </cols>
  <sheetData>
    <row r="1" spans="1:21" x14ac:dyDescent="0.25">
      <c r="A1" s="43"/>
      <c r="B1" s="43"/>
      <c r="C1" s="43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43"/>
      <c r="R1" s="43"/>
      <c r="S1" s="43"/>
      <c r="T1" s="43"/>
      <c r="U1" s="43"/>
    </row>
    <row r="2" spans="1:21" x14ac:dyDescent="0.25">
      <c r="A2" s="43"/>
      <c r="B2" s="43"/>
      <c r="C2" s="43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43"/>
      <c r="R2" s="43"/>
      <c r="S2" s="43"/>
      <c r="T2" s="43"/>
      <c r="U2" s="43"/>
    </row>
    <row r="3" spans="1:21" x14ac:dyDescent="0.25">
      <c r="A3" s="43"/>
      <c r="B3" s="43"/>
      <c r="C3" s="43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43"/>
      <c r="R3" s="43"/>
      <c r="S3" s="43"/>
      <c r="T3" s="43"/>
      <c r="U3" s="43"/>
    </row>
    <row r="4" spans="1:21" x14ac:dyDescent="0.25">
      <c r="A4" s="43"/>
      <c r="B4" s="43"/>
      <c r="C4" s="4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43"/>
      <c r="R4" s="43"/>
      <c r="S4" s="43"/>
      <c r="T4" s="43"/>
      <c r="U4" s="43"/>
    </row>
    <row r="5" spans="1:21" ht="23.25" x14ac:dyDescent="0.35">
      <c r="A5" s="43"/>
      <c r="B5" s="43"/>
      <c r="C5" s="43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3" t="s">
        <v>67</v>
      </c>
      <c r="P5" s="2"/>
      <c r="Q5" s="43"/>
      <c r="R5" s="43"/>
      <c r="S5" s="43"/>
      <c r="T5" s="43"/>
      <c r="U5" s="43"/>
    </row>
    <row r="6" spans="1:21" x14ac:dyDescent="0.25">
      <c r="A6" s="43"/>
      <c r="B6" s="43"/>
      <c r="C6" s="43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43"/>
      <c r="R6" s="43"/>
      <c r="S6" s="43"/>
      <c r="T6" s="43"/>
      <c r="U6" s="43"/>
    </row>
    <row r="7" spans="1:2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36" customHeight="1" thickBot="1" x14ac:dyDescent="0.3">
      <c r="A10" s="1"/>
      <c r="B10" s="1"/>
      <c r="C10" s="11"/>
      <c r="D10" s="69" t="s">
        <v>33</v>
      </c>
      <c r="E10" s="69"/>
      <c r="F10" s="69" t="s">
        <v>34</v>
      </c>
      <c r="G10" s="69"/>
      <c r="H10" s="69" t="s">
        <v>42</v>
      </c>
      <c r="I10" s="69"/>
      <c r="J10" s="69" t="s">
        <v>35</v>
      </c>
      <c r="K10" s="69"/>
      <c r="L10" s="69" t="s">
        <v>36</v>
      </c>
      <c r="M10" s="69"/>
      <c r="N10" s="69" t="s">
        <v>52</v>
      </c>
      <c r="O10" s="69"/>
      <c r="P10" s="65" t="s">
        <v>4</v>
      </c>
      <c r="Q10" s="65"/>
      <c r="R10" s="1"/>
      <c r="S10" s="37" t="s">
        <v>4</v>
      </c>
      <c r="T10" s="1"/>
      <c r="U10" s="1"/>
    </row>
    <row r="11" spans="1:21" ht="24.75" customHeight="1" thickTop="1" x14ac:dyDescent="0.35">
      <c r="A11" s="1"/>
      <c r="B11" s="1"/>
      <c r="C11" s="1"/>
      <c r="D11" s="68" t="s">
        <v>12</v>
      </c>
      <c r="E11" s="68"/>
      <c r="F11" s="64">
        <v>300</v>
      </c>
      <c r="G11" s="64"/>
      <c r="H11" s="64"/>
      <c r="I11" s="64"/>
      <c r="J11" s="64">
        <v>0</v>
      </c>
      <c r="K11" s="64"/>
      <c r="L11" s="64">
        <v>0</v>
      </c>
      <c r="M11" s="64"/>
      <c r="N11" s="64">
        <v>0</v>
      </c>
      <c r="O11" s="64"/>
      <c r="P11" s="66">
        <f>SUM(F11:O11)</f>
        <v>300</v>
      </c>
      <c r="Q11" s="66"/>
      <c r="R11" s="1"/>
      <c r="S11" s="10"/>
      <c r="T11" s="1"/>
      <c r="U11" s="1"/>
    </row>
    <row r="12" spans="1:21" ht="21" customHeight="1" x14ac:dyDescent="0.35">
      <c r="A12" s="1"/>
      <c r="B12" s="1"/>
      <c r="C12" s="1"/>
      <c r="D12" s="68" t="s">
        <v>13</v>
      </c>
      <c r="E12" s="68"/>
      <c r="F12" s="64">
        <v>300</v>
      </c>
      <c r="G12" s="64"/>
      <c r="H12" s="64">
        <v>0</v>
      </c>
      <c r="I12" s="64"/>
      <c r="J12" s="64">
        <v>0</v>
      </c>
      <c r="K12" s="64"/>
      <c r="L12" s="64">
        <v>0</v>
      </c>
      <c r="M12" s="64"/>
      <c r="N12" s="64">
        <v>0</v>
      </c>
      <c r="O12" s="64"/>
      <c r="P12" s="66">
        <f t="shared" ref="P12:P23" si="0">SUM(F12:O12)</f>
        <v>300</v>
      </c>
      <c r="Q12" s="66"/>
      <c r="R12" s="1"/>
      <c r="S12" s="32">
        <f>SUM(P11:Q24)</f>
        <v>1800</v>
      </c>
      <c r="T12" s="1"/>
      <c r="U12" s="1"/>
    </row>
    <row r="13" spans="1:21" ht="21" x14ac:dyDescent="0.35">
      <c r="A13" s="1"/>
      <c r="B13" s="1"/>
      <c r="C13" s="1"/>
      <c r="D13" s="68" t="s">
        <v>14</v>
      </c>
      <c r="E13" s="68"/>
      <c r="F13" s="64">
        <v>300</v>
      </c>
      <c r="G13" s="64"/>
      <c r="H13" s="64">
        <v>0</v>
      </c>
      <c r="I13" s="64"/>
      <c r="J13" s="64">
        <v>0</v>
      </c>
      <c r="K13" s="64"/>
      <c r="L13" s="64">
        <v>0</v>
      </c>
      <c r="M13" s="64"/>
      <c r="N13" s="64">
        <v>0</v>
      </c>
      <c r="O13" s="64"/>
      <c r="P13" s="66">
        <f t="shared" si="0"/>
        <v>300</v>
      </c>
      <c r="Q13" s="66"/>
      <c r="R13" s="1"/>
      <c r="S13" s="1"/>
      <c r="T13" s="1"/>
      <c r="U13" s="1"/>
    </row>
    <row r="14" spans="1:21" ht="21" x14ac:dyDescent="0.35">
      <c r="A14" s="1"/>
      <c r="B14" s="1"/>
      <c r="C14" s="1"/>
      <c r="D14" s="68" t="s">
        <v>15</v>
      </c>
      <c r="E14" s="68"/>
      <c r="F14" s="64">
        <v>300</v>
      </c>
      <c r="G14" s="64"/>
      <c r="H14" s="64">
        <v>0</v>
      </c>
      <c r="I14" s="64"/>
      <c r="J14" s="64">
        <v>0</v>
      </c>
      <c r="K14" s="64"/>
      <c r="L14" s="64">
        <v>0</v>
      </c>
      <c r="M14" s="64"/>
      <c r="N14" s="64">
        <v>0</v>
      </c>
      <c r="O14" s="64"/>
      <c r="P14" s="66">
        <f t="shared" si="0"/>
        <v>300</v>
      </c>
      <c r="Q14" s="66"/>
      <c r="R14" s="1"/>
      <c r="S14" s="1"/>
      <c r="T14" s="1"/>
      <c r="U14" s="1"/>
    </row>
    <row r="15" spans="1:21" ht="21" x14ac:dyDescent="0.35">
      <c r="A15" s="1"/>
      <c r="B15" s="1"/>
      <c r="C15" s="1"/>
      <c r="D15" s="39" t="s">
        <v>16</v>
      </c>
      <c r="E15" s="39"/>
      <c r="F15" s="64">
        <v>300</v>
      </c>
      <c r="G15" s="64"/>
      <c r="H15" s="64">
        <v>0</v>
      </c>
      <c r="I15" s="64"/>
      <c r="J15" s="64">
        <v>0</v>
      </c>
      <c r="K15" s="64"/>
      <c r="L15" s="64">
        <v>0</v>
      </c>
      <c r="M15" s="64"/>
      <c r="N15" s="64">
        <v>0</v>
      </c>
      <c r="O15" s="64"/>
      <c r="P15" s="66">
        <f t="shared" si="0"/>
        <v>300</v>
      </c>
      <c r="Q15" s="66"/>
      <c r="R15" s="1"/>
      <c r="S15" s="1"/>
      <c r="T15" s="1"/>
      <c r="U15" s="1"/>
    </row>
    <row r="16" spans="1:21" ht="21" x14ac:dyDescent="0.35">
      <c r="A16" s="1"/>
      <c r="B16" s="1"/>
      <c r="C16" s="1"/>
      <c r="D16" s="68" t="s">
        <v>17</v>
      </c>
      <c r="E16" s="68"/>
      <c r="F16" s="64">
        <v>300</v>
      </c>
      <c r="G16" s="64"/>
      <c r="H16" s="64">
        <v>0</v>
      </c>
      <c r="I16" s="64"/>
      <c r="J16" s="64">
        <v>0</v>
      </c>
      <c r="K16" s="64"/>
      <c r="L16" s="64">
        <v>0</v>
      </c>
      <c r="M16" s="64"/>
      <c r="N16" s="64">
        <v>0</v>
      </c>
      <c r="O16" s="64"/>
      <c r="P16" s="66">
        <f t="shared" si="0"/>
        <v>300</v>
      </c>
      <c r="Q16" s="66"/>
      <c r="R16" s="1"/>
      <c r="S16" s="1"/>
      <c r="T16" s="1"/>
      <c r="U16" s="1"/>
    </row>
    <row r="17" spans="1:21" ht="18" customHeight="1" x14ac:dyDescent="0.35">
      <c r="A17" s="1"/>
      <c r="B17" s="1"/>
      <c r="C17" s="1"/>
      <c r="D17" s="68"/>
      <c r="E17" s="68"/>
      <c r="F17" s="64">
        <v>0</v>
      </c>
      <c r="G17" s="64"/>
      <c r="H17" s="64">
        <v>0</v>
      </c>
      <c r="I17" s="64"/>
      <c r="J17" s="64">
        <v>0</v>
      </c>
      <c r="K17" s="64"/>
      <c r="L17" s="64">
        <v>0</v>
      </c>
      <c r="M17" s="64"/>
      <c r="N17" s="64">
        <v>0</v>
      </c>
      <c r="O17" s="64"/>
      <c r="P17" s="66">
        <f t="shared" si="0"/>
        <v>0</v>
      </c>
      <c r="Q17" s="66"/>
      <c r="R17" s="1"/>
      <c r="S17" s="1"/>
      <c r="T17" s="1"/>
      <c r="U17" s="1"/>
    </row>
    <row r="18" spans="1:21" ht="21" x14ac:dyDescent="0.35">
      <c r="A18" s="1"/>
      <c r="B18" s="1"/>
      <c r="C18" s="1"/>
      <c r="D18" s="68"/>
      <c r="E18" s="68"/>
      <c r="F18" s="64">
        <v>0</v>
      </c>
      <c r="G18" s="64"/>
      <c r="H18" s="64">
        <v>0</v>
      </c>
      <c r="I18" s="64"/>
      <c r="J18" s="64">
        <v>0</v>
      </c>
      <c r="K18" s="64"/>
      <c r="L18" s="64">
        <v>0</v>
      </c>
      <c r="M18" s="64"/>
      <c r="N18" s="64">
        <v>0</v>
      </c>
      <c r="O18" s="64"/>
      <c r="P18" s="66">
        <f t="shared" si="0"/>
        <v>0</v>
      </c>
      <c r="Q18" s="66"/>
      <c r="R18" s="1"/>
      <c r="S18" s="1"/>
      <c r="T18" s="1"/>
      <c r="U18" s="1"/>
    </row>
    <row r="19" spans="1:21" ht="21" x14ac:dyDescent="0.35">
      <c r="A19" s="1"/>
      <c r="B19" s="1"/>
      <c r="C19" s="1"/>
      <c r="D19" s="68"/>
      <c r="E19" s="68"/>
      <c r="F19" s="64">
        <v>0</v>
      </c>
      <c r="G19" s="64"/>
      <c r="H19" s="64">
        <v>0</v>
      </c>
      <c r="I19" s="64"/>
      <c r="J19" s="64">
        <v>0</v>
      </c>
      <c r="K19" s="64"/>
      <c r="L19" s="64">
        <v>0</v>
      </c>
      <c r="M19" s="64"/>
      <c r="N19" s="64">
        <v>0</v>
      </c>
      <c r="O19" s="64"/>
      <c r="P19" s="66">
        <f t="shared" si="0"/>
        <v>0</v>
      </c>
      <c r="Q19" s="66"/>
      <c r="R19" s="1"/>
      <c r="S19" s="1"/>
      <c r="T19" s="1"/>
      <c r="U19" s="1"/>
    </row>
    <row r="20" spans="1:21" ht="21" x14ac:dyDescent="0.35">
      <c r="A20" s="1"/>
      <c r="B20" s="1"/>
      <c r="C20" s="1"/>
      <c r="D20" s="68"/>
      <c r="E20" s="68"/>
      <c r="F20" s="64">
        <v>0</v>
      </c>
      <c r="G20" s="64"/>
      <c r="H20" s="64">
        <v>0</v>
      </c>
      <c r="I20" s="64"/>
      <c r="J20" s="64">
        <v>0</v>
      </c>
      <c r="K20" s="64"/>
      <c r="L20" s="64">
        <v>0</v>
      </c>
      <c r="M20" s="64"/>
      <c r="N20" s="64">
        <v>0</v>
      </c>
      <c r="O20" s="64"/>
      <c r="P20" s="66">
        <f t="shared" si="0"/>
        <v>0</v>
      </c>
      <c r="Q20" s="66"/>
      <c r="R20" s="1"/>
      <c r="S20" s="1"/>
      <c r="T20" s="1"/>
      <c r="U20" s="1"/>
    </row>
    <row r="21" spans="1:21" ht="21" x14ac:dyDescent="0.35">
      <c r="A21" s="1"/>
      <c r="B21" s="1"/>
      <c r="C21" s="1"/>
      <c r="D21" s="68"/>
      <c r="E21" s="68"/>
      <c r="F21" s="64">
        <v>0</v>
      </c>
      <c r="G21" s="64"/>
      <c r="H21" s="64">
        <v>0</v>
      </c>
      <c r="I21" s="64"/>
      <c r="J21" s="64">
        <v>0</v>
      </c>
      <c r="K21" s="64"/>
      <c r="L21" s="64">
        <v>0</v>
      </c>
      <c r="M21" s="64"/>
      <c r="N21" s="64">
        <v>0</v>
      </c>
      <c r="O21" s="64"/>
      <c r="P21" s="66">
        <f t="shared" si="0"/>
        <v>0</v>
      </c>
      <c r="Q21" s="66"/>
      <c r="R21" s="1"/>
      <c r="S21" s="1"/>
      <c r="T21" s="1"/>
      <c r="U21" s="1"/>
    </row>
    <row r="22" spans="1:21" ht="21" x14ac:dyDescent="0.35">
      <c r="A22" s="1"/>
      <c r="B22" s="1"/>
      <c r="C22" s="1"/>
      <c r="D22" s="68"/>
      <c r="E22" s="68"/>
      <c r="F22" s="64">
        <v>0</v>
      </c>
      <c r="G22" s="64"/>
      <c r="H22" s="64">
        <v>0</v>
      </c>
      <c r="I22" s="64"/>
      <c r="J22" s="64">
        <v>0</v>
      </c>
      <c r="K22" s="64"/>
      <c r="L22" s="64">
        <v>0</v>
      </c>
      <c r="M22" s="64"/>
      <c r="N22" s="64">
        <v>0</v>
      </c>
      <c r="O22" s="64"/>
      <c r="P22" s="66">
        <f t="shared" si="0"/>
        <v>0</v>
      </c>
      <c r="Q22" s="66"/>
      <c r="R22" s="1"/>
      <c r="S22" s="1"/>
      <c r="T22" s="1"/>
      <c r="U22" s="1"/>
    </row>
    <row r="23" spans="1:21" ht="21" x14ac:dyDescent="0.35">
      <c r="A23" s="1"/>
      <c r="B23" s="1"/>
      <c r="C23" s="1"/>
      <c r="D23" s="68"/>
      <c r="E23" s="68"/>
      <c r="F23" s="64">
        <v>0</v>
      </c>
      <c r="G23" s="64"/>
      <c r="H23" s="64">
        <v>0</v>
      </c>
      <c r="I23" s="64"/>
      <c r="J23" s="64">
        <v>0</v>
      </c>
      <c r="K23" s="64"/>
      <c r="L23" s="64">
        <v>0</v>
      </c>
      <c r="M23" s="64"/>
      <c r="N23" s="64">
        <v>0</v>
      </c>
      <c r="O23" s="64"/>
      <c r="P23" s="66">
        <f t="shared" si="0"/>
        <v>0</v>
      </c>
      <c r="Q23" s="66"/>
      <c r="R23" s="1"/>
      <c r="S23" s="1"/>
      <c r="T23" s="1"/>
      <c r="U23" s="1"/>
    </row>
    <row r="24" spans="1:21" ht="21" x14ac:dyDescent="0.35">
      <c r="A24" s="1"/>
      <c r="B24" s="1"/>
      <c r="C24" s="1"/>
      <c r="D24" s="68"/>
      <c r="E24" s="68"/>
      <c r="F24" s="64">
        <v>0</v>
      </c>
      <c r="G24" s="64"/>
      <c r="H24" s="64">
        <v>0</v>
      </c>
      <c r="I24" s="64"/>
      <c r="J24" s="64">
        <v>0</v>
      </c>
      <c r="K24" s="64"/>
      <c r="L24" s="64">
        <v>0</v>
      </c>
      <c r="M24" s="64"/>
      <c r="N24" s="64">
        <v>0</v>
      </c>
      <c r="O24" s="64"/>
      <c r="P24" s="66">
        <v>0</v>
      </c>
      <c r="Q24" s="66"/>
      <c r="R24" s="1"/>
      <c r="S24" s="1"/>
      <c r="T24" s="1"/>
      <c r="U24" s="1"/>
    </row>
    <row r="25" spans="1:21" ht="21" x14ac:dyDescent="0.35">
      <c r="A25" s="1"/>
      <c r="B25" s="1"/>
      <c r="C25" s="1"/>
      <c r="D25" s="68"/>
      <c r="E25" s="68"/>
      <c r="F25" s="1"/>
      <c r="G25" s="1"/>
      <c r="H25" s="64"/>
      <c r="I25" s="64"/>
      <c r="J25" s="64"/>
      <c r="K25" s="64"/>
      <c r="L25" s="64"/>
      <c r="M25" s="64"/>
      <c r="N25" s="64"/>
      <c r="O25" s="64"/>
      <c r="P25" s="67"/>
      <c r="Q25" s="67"/>
      <c r="R25" s="1"/>
      <c r="S25" s="1"/>
      <c r="T25" s="1"/>
      <c r="U25" s="1"/>
    </row>
    <row r="26" spans="1:21" ht="15" customHeight="1" x14ac:dyDescent="0.25">
      <c r="A26" s="1"/>
      <c r="B26" s="1"/>
      <c r="C26" s="1"/>
      <c r="D26" s="1"/>
      <c r="E26" s="1"/>
      <c r="F26" s="1"/>
      <c r="G26" s="1"/>
      <c r="H26" s="64"/>
      <c r="I26" s="64"/>
      <c r="J26" s="64"/>
      <c r="K26" s="64"/>
      <c r="L26" s="64"/>
      <c r="M26" s="64"/>
      <c r="N26" s="64"/>
      <c r="O26" s="64"/>
      <c r="P26" s="67"/>
      <c r="Q26" s="67"/>
      <c r="R26" s="1"/>
      <c r="S26" s="1"/>
      <c r="T26" s="1"/>
      <c r="U26" s="1"/>
    </row>
    <row r="27" spans="1:21" ht="15" customHeight="1" x14ac:dyDescent="0.25">
      <c r="A27" s="1"/>
      <c r="B27" s="1"/>
      <c r="C27" s="1"/>
      <c r="D27" s="1"/>
      <c r="E27" s="1"/>
      <c r="F27" s="1"/>
      <c r="G27" s="1"/>
      <c r="H27" s="64"/>
      <c r="I27" s="64"/>
      <c r="J27" s="64"/>
      <c r="K27" s="64"/>
      <c r="L27" s="64"/>
      <c r="M27" s="64"/>
      <c r="N27" s="64"/>
      <c r="O27" s="64"/>
      <c r="P27" s="67"/>
      <c r="Q27" s="67"/>
      <c r="R27" s="1"/>
      <c r="S27" s="1"/>
      <c r="T27" s="1"/>
      <c r="U27" s="1"/>
    </row>
  </sheetData>
  <mergeCells count="120">
    <mergeCell ref="D25:E25"/>
    <mergeCell ref="D20:E20"/>
    <mergeCell ref="D21:E21"/>
    <mergeCell ref="D22:E22"/>
    <mergeCell ref="D23:E23"/>
    <mergeCell ref="D24:E24"/>
    <mergeCell ref="F20:G20"/>
    <mergeCell ref="F21:G21"/>
    <mergeCell ref="F22:G22"/>
    <mergeCell ref="F23:G23"/>
    <mergeCell ref="F24:G24"/>
    <mergeCell ref="P21:Q21"/>
    <mergeCell ref="P22:Q22"/>
    <mergeCell ref="P23:Q23"/>
    <mergeCell ref="P24:Q24"/>
    <mergeCell ref="H10:I10"/>
    <mergeCell ref="J10:K10"/>
    <mergeCell ref="L10:M10"/>
    <mergeCell ref="N10:O10"/>
    <mergeCell ref="L16:M16"/>
    <mergeCell ref="N11:O11"/>
    <mergeCell ref="N12:O12"/>
    <mergeCell ref="N13:O13"/>
    <mergeCell ref="N14:O14"/>
    <mergeCell ref="N15:O15"/>
    <mergeCell ref="N16:O16"/>
    <mergeCell ref="L11:M11"/>
    <mergeCell ref="L12:M12"/>
    <mergeCell ref="L13:M13"/>
    <mergeCell ref="L14:M14"/>
    <mergeCell ref="L15:M15"/>
    <mergeCell ref="N24:O24"/>
    <mergeCell ref="H19:I19"/>
    <mergeCell ref="J19:K19"/>
    <mergeCell ref="H16:I16"/>
    <mergeCell ref="J16:K16"/>
    <mergeCell ref="H11:I11"/>
    <mergeCell ref="H12:I12"/>
    <mergeCell ref="H13:I13"/>
    <mergeCell ref="H14:I14"/>
    <mergeCell ref="H15:I15"/>
    <mergeCell ref="J11:K11"/>
    <mergeCell ref="J12:K12"/>
    <mergeCell ref="J13:K13"/>
    <mergeCell ref="J14:K14"/>
    <mergeCell ref="J15:K15"/>
    <mergeCell ref="D18:E18"/>
    <mergeCell ref="D19:E19"/>
    <mergeCell ref="D10:E10"/>
    <mergeCell ref="D13:E13"/>
    <mergeCell ref="D12:E12"/>
    <mergeCell ref="D11:E11"/>
    <mergeCell ref="F10:G10"/>
    <mergeCell ref="F12:G12"/>
    <mergeCell ref="F13:G13"/>
    <mergeCell ref="F17:G17"/>
    <mergeCell ref="F18:G18"/>
    <mergeCell ref="F19:G19"/>
    <mergeCell ref="D14:E14"/>
    <mergeCell ref="D16:E16"/>
    <mergeCell ref="D17:E17"/>
    <mergeCell ref="F11:G11"/>
    <mergeCell ref="F14:G14"/>
    <mergeCell ref="F15:G15"/>
    <mergeCell ref="F16:G16"/>
    <mergeCell ref="N25:O25"/>
    <mergeCell ref="N26:O26"/>
    <mergeCell ref="N27:O27"/>
    <mergeCell ref="N17:O17"/>
    <mergeCell ref="P10:Q10"/>
    <mergeCell ref="P11:Q11"/>
    <mergeCell ref="P12:Q12"/>
    <mergeCell ref="P13:Q13"/>
    <mergeCell ref="P14:Q14"/>
    <mergeCell ref="P19:Q19"/>
    <mergeCell ref="P25:Q25"/>
    <mergeCell ref="P26:Q26"/>
    <mergeCell ref="P27:Q27"/>
    <mergeCell ref="P18:Q18"/>
    <mergeCell ref="P15:Q15"/>
    <mergeCell ref="P16:Q16"/>
    <mergeCell ref="P17:Q17"/>
    <mergeCell ref="N18:O18"/>
    <mergeCell ref="N19:O19"/>
    <mergeCell ref="N20:O20"/>
    <mergeCell ref="N21:O21"/>
    <mergeCell ref="N22:O22"/>
    <mergeCell ref="N23:O23"/>
    <mergeCell ref="P20:Q20"/>
    <mergeCell ref="L19:M19"/>
    <mergeCell ref="H20:I20"/>
    <mergeCell ref="J20:K20"/>
    <mergeCell ref="L20:M20"/>
    <mergeCell ref="H17:I17"/>
    <mergeCell ref="J17:K17"/>
    <mergeCell ref="L17:M17"/>
    <mergeCell ref="H18:I18"/>
    <mergeCell ref="J18:K18"/>
    <mergeCell ref="L18:M18"/>
    <mergeCell ref="H23:I23"/>
    <mergeCell ref="J23:K23"/>
    <mergeCell ref="L23:M23"/>
    <mergeCell ref="H24:I24"/>
    <mergeCell ref="J24:K24"/>
    <mergeCell ref="L24:M24"/>
    <mergeCell ref="H21:I21"/>
    <mergeCell ref="J21:K21"/>
    <mergeCell ref="L21:M21"/>
    <mergeCell ref="H22:I22"/>
    <mergeCell ref="J22:K22"/>
    <mergeCell ref="L22:M22"/>
    <mergeCell ref="H27:I27"/>
    <mergeCell ref="J27:K27"/>
    <mergeCell ref="L27:M27"/>
    <mergeCell ref="H25:I25"/>
    <mergeCell ref="J25:K25"/>
    <mergeCell ref="L25:M25"/>
    <mergeCell ref="H26:I26"/>
    <mergeCell ref="J26:K26"/>
    <mergeCell ref="L26:M26"/>
  </mergeCells>
  <phoneticPr fontId="18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3E1C5-D74F-441D-AFCB-A792668E51F5}">
  <sheetPr codeName="Planilha4"/>
  <dimension ref="A1:V118"/>
  <sheetViews>
    <sheetView showGridLines="0" showRowColHeaders="0" workbookViewId="0">
      <pane ySplit="6" topLeftCell="A32" activePane="bottomLeft" state="frozen"/>
      <selection pane="bottomLeft" activeCell="M34" sqref="M34:N39"/>
    </sheetView>
  </sheetViews>
  <sheetFormatPr defaultColWidth="0" defaultRowHeight="15" zeroHeight="1" x14ac:dyDescent="0.25"/>
  <cols>
    <col min="1" max="1" width="11" customWidth="1"/>
    <col min="2" max="2" width="9.140625" customWidth="1"/>
    <col min="3" max="3" width="11.28515625" customWidth="1"/>
    <col min="4" max="4" width="10.85546875" customWidth="1"/>
    <col min="5" max="5" width="10.28515625" customWidth="1"/>
    <col min="6" max="6" width="10.140625" customWidth="1"/>
    <col min="7" max="7" width="10.42578125" customWidth="1"/>
    <col min="8" max="8" width="9.42578125" customWidth="1"/>
    <col min="9" max="9" width="10.42578125" customWidth="1"/>
    <col min="10" max="10" width="10.140625" customWidth="1"/>
    <col min="11" max="11" width="9.7109375" customWidth="1"/>
    <col min="12" max="12" width="11.140625" customWidth="1"/>
    <col min="13" max="13" width="9.28515625" customWidth="1"/>
    <col min="14" max="14" width="9.42578125" customWidth="1"/>
    <col min="15" max="15" width="9.7109375" customWidth="1"/>
    <col min="16" max="16" width="6.28515625" customWidth="1"/>
    <col min="17" max="21" width="9.140625" customWidth="1"/>
    <col min="22" max="22" width="0" hidden="1" customWidth="1"/>
    <col min="23" max="16384" width="9.140625" hidden="1"/>
  </cols>
  <sheetData>
    <row r="1" spans="1:21" x14ac:dyDescent="0.25">
      <c r="A1" s="43"/>
      <c r="B1" s="43"/>
      <c r="C1" s="43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43"/>
      <c r="R1" s="43"/>
      <c r="S1" s="43"/>
      <c r="T1" s="43"/>
      <c r="U1" s="43"/>
    </row>
    <row r="2" spans="1:21" x14ac:dyDescent="0.25">
      <c r="A2" s="43"/>
      <c r="B2" s="43"/>
      <c r="C2" s="43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43"/>
      <c r="R2" s="43"/>
      <c r="S2" s="43"/>
      <c r="T2" s="43"/>
      <c r="U2" s="43"/>
    </row>
    <row r="3" spans="1:21" x14ac:dyDescent="0.25">
      <c r="A3" s="43"/>
      <c r="B3" s="43"/>
      <c r="C3" s="43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43"/>
      <c r="R3" s="43"/>
      <c r="S3" s="43"/>
      <c r="T3" s="43"/>
      <c r="U3" s="43"/>
    </row>
    <row r="4" spans="1:21" x14ac:dyDescent="0.25">
      <c r="A4" s="43"/>
      <c r="B4" s="43"/>
      <c r="C4" s="4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43"/>
      <c r="R4" s="43"/>
      <c r="S4" s="43"/>
      <c r="T4" s="43"/>
      <c r="U4" s="43"/>
    </row>
    <row r="5" spans="1:21" ht="23.25" x14ac:dyDescent="0.35">
      <c r="A5" s="43"/>
      <c r="B5" s="43"/>
      <c r="C5" s="43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3" t="s">
        <v>67</v>
      </c>
      <c r="P5" s="2"/>
      <c r="Q5" s="43"/>
      <c r="R5" s="43"/>
      <c r="S5" s="43"/>
      <c r="T5" s="43"/>
      <c r="U5" s="43"/>
    </row>
    <row r="6" spans="1:21" x14ac:dyDescent="0.25">
      <c r="A6" s="43"/>
      <c r="B6" s="43"/>
      <c r="C6" s="43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43"/>
      <c r="R6" s="43"/>
      <c r="S6" s="43"/>
      <c r="T6" s="43"/>
      <c r="U6" s="43"/>
    </row>
    <row r="7" spans="1:21" ht="15" hidden="1" customHeight="1" x14ac:dyDescent="0.3">
      <c r="A7" s="24" t="s">
        <v>43</v>
      </c>
      <c r="B7" s="34"/>
      <c r="C7" s="34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</row>
    <row r="8" spans="1:21" ht="18.75" hidden="1" x14ac:dyDescent="0.3">
      <c r="A8" s="33"/>
      <c r="B8" s="34"/>
      <c r="C8" s="3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</row>
    <row r="9" spans="1:21" ht="15.75" hidden="1" x14ac:dyDescent="0.25">
      <c r="A9" s="25" t="s">
        <v>18</v>
      </c>
      <c r="B9" s="34"/>
      <c r="C9" s="3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</row>
    <row r="10" spans="1:21" ht="15.75" hidden="1" x14ac:dyDescent="0.25">
      <c r="A10" s="26" t="s">
        <v>19</v>
      </c>
      <c r="B10" s="34"/>
      <c r="C10" s="34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</row>
    <row r="11" spans="1:21" ht="15.75" hidden="1" x14ac:dyDescent="0.25">
      <c r="A11" s="26" t="s">
        <v>20</v>
      </c>
      <c r="B11" s="34"/>
      <c r="C11" s="34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</row>
    <row r="12" spans="1:21" ht="15.75" hidden="1" x14ac:dyDescent="0.25">
      <c r="A12" s="28" t="s">
        <v>21</v>
      </c>
      <c r="B12" s="34"/>
      <c r="C12" s="34" t="s">
        <v>45</v>
      </c>
      <c r="D12" s="1" t="s">
        <v>45</v>
      </c>
      <c r="E12" s="1" t="s">
        <v>46</v>
      </c>
      <c r="F12" s="1" t="s">
        <v>47</v>
      </c>
      <c r="G12" s="1" t="s">
        <v>47</v>
      </c>
      <c r="H12" s="1" t="s">
        <v>47</v>
      </c>
      <c r="I12" s="1" t="s">
        <v>48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</row>
    <row r="13" spans="1:21" ht="15.75" hidden="1" x14ac:dyDescent="0.25">
      <c r="A13" s="26" t="s">
        <v>22</v>
      </c>
      <c r="B13" s="34"/>
      <c r="C13" s="34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</row>
    <row r="14" spans="1:21" ht="15.75" hidden="1" x14ac:dyDescent="0.25">
      <c r="A14" s="28" t="s">
        <v>23</v>
      </c>
      <c r="B14" s="34"/>
      <c r="C14" s="34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1"/>
      <c r="O14" s="1"/>
      <c r="P14" s="1"/>
      <c r="Q14" s="1"/>
      <c r="R14" s="1"/>
      <c r="S14" s="1"/>
      <c r="T14" s="43"/>
      <c r="U14" s="43"/>
    </row>
    <row r="15" spans="1:21" ht="15.75" hidden="1" x14ac:dyDescent="0.25">
      <c r="A15" s="28" t="s">
        <v>24</v>
      </c>
      <c r="B15" s="34"/>
      <c r="C15" s="34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1"/>
      <c r="O15" s="1"/>
      <c r="P15" s="1"/>
      <c r="Q15" s="1"/>
      <c r="R15" s="1"/>
      <c r="S15" s="1"/>
      <c r="T15" s="43"/>
      <c r="U15" s="43"/>
    </row>
    <row r="16" spans="1:21" ht="15.75" hidden="1" x14ac:dyDescent="0.25">
      <c r="A16" s="28" t="s">
        <v>25</v>
      </c>
      <c r="B16" s="34"/>
      <c r="C16" s="34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1"/>
      <c r="O16" s="1"/>
      <c r="P16" s="1"/>
      <c r="Q16" s="1"/>
      <c r="R16" s="1"/>
      <c r="S16" s="1"/>
      <c r="T16" s="43"/>
      <c r="U16" s="43"/>
    </row>
    <row r="17" spans="1:21" ht="15.75" hidden="1" customHeight="1" x14ac:dyDescent="0.25">
      <c r="A17" s="29" t="s">
        <v>26</v>
      </c>
      <c r="B17" s="34"/>
      <c r="C17" s="34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1"/>
      <c r="O17" s="1"/>
      <c r="P17" s="1"/>
      <c r="Q17" s="1"/>
      <c r="R17" s="1"/>
      <c r="S17" s="1"/>
      <c r="T17" s="43"/>
      <c r="U17" s="43"/>
    </row>
    <row r="18" spans="1:21" ht="15.75" hidden="1" x14ac:dyDescent="0.25">
      <c r="A18" s="27"/>
      <c r="B18" s="34"/>
      <c r="C18" s="34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1"/>
      <c r="O18" s="1"/>
      <c r="P18" s="1"/>
      <c r="Q18" s="1"/>
      <c r="R18" s="1"/>
      <c r="S18" s="1"/>
      <c r="T18" s="43"/>
      <c r="U18" s="43"/>
    </row>
    <row r="19" spans="1:21" ht="15.75" hidden="1" x14ac:dyDescent="0.25">
      <c r="A19" s="27"/>
      <c r="B19" s="34"/>
      <c r="C19" s="34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</row>
    <row r="20" spans="1:21" ht="15.75" hidden="1" x14ac:dyDescent="0.25">
      <c r="A20" s="27"/>
      <c r="B20" s="34"/>
      <c r="C20" s="34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</row>
    <row r="21" spans="1:21" ht="15.75" hidden="1" x14ac:dyDescent="0.25">
      <c r="A21" s="27"/>
      <c r="B21" s="34"/>
      <c r="C21" s="34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43"/>
      <c r="U21" s="43"/>
    </row>
    <row r="22" spans="1:21" ht="15.75" hidden="1" x14ac:dyDescent="0.25">
      <c r="A22" s="27"/>
      <c r="B22" s="34"/>
      <c r="C22" s="34"/>
      <c r="D22" s="1"/>
      <c r="E22" s="1"/>
      <c r="F22" s="1"/>
      <c r="G22" s="1"/>
      <c r="H22" s="1"/>
      <c r="I22" s="1"/>
      <c r="J22" s="1"/>
      <c r="K22" s="1"/>
      <c r="L22" s="1"/>
      <c r="M22" s="1"/>
      <c r="N22" s="8"/>
      <c r="O22" s="8"/>
      <c r="P22" s="1"/>
      <c r="Q22" s="1"/>
      <c r="R22" s="1"/>
      <c r="S22" s="1"/>
      <c r="T22" s="43"/>
      <c r="U22" s="43"/>
    </row>
    <row r="23" spans="1:21" ht="15.75" hidden="1" x14ac:dyDescent="0.25">
      <c r="A23" s="27"/>
      <c r="B23" s="34"/>
      <c r="C23" s="34"/>
      <c r="D23" s="1"/>
      <c r="E23" s="1"/>
      <c r="F23" s="1"/>
      <c r="G23" s="1"/>
      <c r="H23" s="1"/>
      <c r="I23" s="1"/>
      <c r="J23" s="1"/>
      <c r="K23" s="1"/>
      <c r="L23" s="1"/>
      <c r="M23" s="1"/>
      <c r="N23" s="8"/>
      <c r="O23" s="8"/>
      <c r="P23" s="1"/>
      <c r="Q23" s="1"/>
      <c r="R23" s="1"/>
      <c r="S23" s="1"/>
      <c r="T23" s="43"/>
      <c r="U23" s="43"/>
    </row>
    <row r="24" spans="1:21" ht="15.75" hidden="1" x14ac:dyDescent="0.25">
      <c r="A24" s="27"/>
      <c r="B24" s="34"/>
      <c r="C24" s="34"/>
      <c r="D24" s="1"/>
      <c r="E24" s="1"/>
      <c r="F24" s="1"/>
      <c r="G24" s="1"/>
      <c r="H24" s="1"/>
      <c r="I24" s="1"/>
      <c r="J24" s="1"/>
      <c r="K24" s="1"/>
      <c r="L24" s="1"/>
      <c r="M24" s="1"/>
      <c r="N24" s="1" t="s">
        <v>44</v>
      </c>
      <c r="O24" s="1"/>
      <c r="P24" s="1"/>
      <c r="Q24" s="1"/>
      <c r="R24" s="1"/>
      <c r="S24" s="1"/>
      <c r="T24" s="43"/>
      <c r="U24" s="43"/>
    </row>
    <row r="25" spans="1:21" ht="15.75" hidden="1" x14ac:dyDescent="0.25">
      <c r="A25" s="27"/>
      <c r="B25" s="34"/>
      <c r="C25" s="34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43"/>
      <c r="U25" s="43"/>
    </row>
    <row r="26" spans="1:21" ht="15.75" hidden="1" x14ac:dyDescent="0.25">
      <c r="A26" s="27"/>
      <c r="B26" s="34"/>
      <c r="C26" s="34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</row>
    <row r="27" spans="1:21" ht="15.75" hidden="1" x14ac:dyDescent="0.25">
      <c r="A27" s="27"/>
      <c r="B27" s="34"/>
      <c r="C27" s="34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</row>
    <row r="28" spans="1:21" ht="15.75" hidden="1" x14ac:dyDescent="0.25">
      <c r="A28" s="27"/>
      <c r="B28" s="34"/>
      <c r="C28" s="34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</row>
    <row r="29" spans="1:21" ht="15.75" hidden="1" x14ac:dyDescent="0.25">
      <c r="A29" s="27"/>
      <c r="B29" s="34"/>
      <c r="C29" s="3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</row>
    <row r="30" spans="1:21" ht="15.75" hidden="1" x14ac:dyDescent="0.25">
      <c r="A30" s="30"/>
      <c r="B30" s="34"/>
      <c r="C30" s="34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</row>
    <row r="31" spans="1:21" hidden="1" x14ac:dyDescent="0.25">
      <c r="A31" s="34"/>
      <c r="B31" s="34"/>
      <c r="C31" s="3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</row>
    <row r="32" spans="1:21" ht="18.75" x14ac:dyDescent="0.3">
      <c r="A32" s="34"/>
      <c r="B32" s="34"/>
      <c r="C32" s="34"/>
      <c r="D32" s="41"/>
      <c r="E32" s="41"/>
      <c r="F32" s="42"/>
      <c r="G32" s="42"/>
      <c r="H32" s="42"/>
      <c r="I32" s="42"/>
      <c r="J32" s="42"/>
      <c r="K32" s="42"/>
      <c r="L32" s="42"/>
      <c r="M32" s="41"/>
      <c r="N32" s="1"/>
      <c r="O32" s="1"/>
      <c r="P32" s="1"/>
      <c r="Q32" s="1"/>
      <c r="R32" s="1"/>
      <c r="S32" s="1"/>
      <c r="T32" s="43"/>
      <c r="U32" s="43"/>
    </row>
    <row r="33" spans="1:21" ht="20.25" thickBot="1" x14ac:dyDescent="0.3">
      <c r="A33" s="34"/>
      <c r="B33" s="34"/>
      <c r="C33" s="43"/>
      <c r="D33" s="65" t="s">
        <v>1</v>
      </c>
      <c r="E33" s="65"/>
      <c r="F33" s="38"/>
      <c r="G33" s="65" t="s">
        <v>66</v>
      </c>
      <c r="H33" s="65"/>
      <c r="I33" s="65"/>
      <c r="J33" s="38"/>
      <c r="K33" s="65" t="s">
        <v>50</v>
      </c>
      <c r="L33" s="65"/>
      <c r="M33" s="38"/>
      <c r="N33" s="38" t="s">
        <v>4</v>
      </c>
      <c r="O33" s="43"/>
      <c r="P33" s="43"/>
      <c r="Q33" s="43"/>
      <c r="R33" s="1"/>
      <c r="S33" s="1"/>
      <c r="T33" s="43"/>
      <c r="U33" s="43"/>
    </row>
    <row r="34" spans="1:21" ht="24" customHeight="1" thickTop="1" thickBot="1" x14ac:dyDescent="0.3">
      <c r="A34" s="34"/>
      <c r="B34" s="34"/>
      <c r="C34" s="43"/>
      <c r="D34" s="75" t="s">
        <v>23</v>
      </c>
      <c r="E34" s="44"/>
      <c r="F34" s="44"/>
      <c r="G34" s="92">
        <v>44512</v>
      </c>
      <c r="H34" s="91"/>
      <c r="I34" s="91"/>
      <c r="J34" s="44"/>
      <c r="K34" s="77">
        <v>1550</v>
      </c>
      <c r="L34" s="77"/>
      <c r="M34" s="76">
        <f>SUM(K34:L39)</f>
        <v>1550</v>
      </c>
      <c r="N34" s="76"/>
      <c r="O34" s="43"/>
      <c r="P34" s="43"/>
      <c r="Q34" s="71" t="s">
        <v>4</v>
      </c>
      <c r="R34" s="71"/>
      <c r="S34" s="71"/>
      <c r="T34" s="43"/>
      <c r="U34" s="43"/>
    </row>
    <row r="35" spans="1:21" ht="24" customHeight="1" thickBot="1" x14ac:dyDescent="0.3">
      <c r="A35" s="34"/>
      <c r="B35" s="34"/>
      <c r="C35" s="43"/>
      <c r="D35" s="75"/>
      <c r="E35" s="44"/>
      <c r="F35" s="44"/>
      <c r="G35" s="91"/>
      <c r="H35" s="91"/>
      <c r="I35" s="91"/>
      <c r="J35" s="44"/>
      <c r="K35" s="77"/>
      <c r="L35" s="77"/>
      <c r="M35" s="74"/>
      <c r="N35" s="74"/>
      <c r="O35" s="43"/>
      <c r="P35" s="43"/>
      <c r="Q35" s="71"/>
      <c r="R35" s="71"/>
      <c r="S35" s="71"/>
      <c r="T35" s="1"/>
      <c r="U35" s="1"/>
    </row>
    <row r="36" spans="1:21" ht="16.5" customHeight="1" thickBot="1" x14ac:dyDescent="0.3">
      <c r="A36" s="34"/>
      <c r="B36" s="34"/>
      <c r="C36" s="43"/>
      <c r="D36" s="75"/>
      <c r="E36" s="44"/>
      <c r="F36" s="44"/>
      <c r="G36" s="91"/>
      <c r="H36" s="91"/>
      <c r="I36" s="91"/>
      <c r="J36" s="44"/>
      <c r="K36" s="77"/>
      <c r="L36" s="77"/>
      <c r="M36" s="74"/>
      <c r="N36" s="74"/>
      <c r="O36" s="43"/>
      <c r="P36" s="43"/>
      <c r="Q36" s="72">
        <f>SUM(M34:N81)</f>
        <v>1550</v>
      </c>
      <c r="R36" s="72"/>
      <c r="S36" s="72"/>
      <c r="T36" s="1"/>
      <c r="U36" s="1"/>
    </row>
    <row r="37" spans="1:21" ht="16.5" customHeight="1" thickBot="1" x14ac:dyDescent="0.3">
      <c r="A37" s="34"/>
      <c r="B37" s="34"/>
      <c r="C37" s="43"/>
      <c r="D37" s="75"/>
      <c r="E37" s="44"/>
      <c r="F37" s="44"/>
      <c r="G37" s="91"/>
      <c r="H37" s="91"/>
      <c r="I37" s="91"/>
      <c r="J37" s="44"/>
      <c r="K37" s="77"/>
      <c r="L37" s="77"/>
      <c r="M37" s="74"/>
      <c r="N37" s="74"/>
      <c r="O37" s="43"/>
      <c r="P37" s="43"/>
      <c r="Q37" s="43"/>
      <c r="R37" s="1"/>
      <c r="S37" s="1"/>
      <c r="T37" s="1"/>
      <c r="U37" s="1"/>
    </row>
    <row r="38" spans="1:21" ht="16.5" thickBot="1" x14ac:dyDescent="0.3">
      <c r="A38" s="34"/>
      <c r="B38" s="34"/>
      <c r="C38" s="43"/>
      <c r="D38" s="75"/>
      <c r="E38" s="44"/>
      <c r="F38" s="44"/>
      <c r="G38" s="91"/>
      <c r="H38" s="91"/>
      <c r="I38" s="91"/>
      <c r="J38" s="44"/>
      <c r="K38" s="77"/>
      <c r="L38" s="77"/>
      <c r="M38" s="74"/>
      <c r="N38" s="74"/>
      <c r="O38" s="43"/>
      <c r="P38" s="43"/>
      <c r="Q38" s="43"/>
      <c r="R38" s="1"/>
      <c r="S38" s="1"/>
      <c r="T38" s="1"/>
      <c r="U38" s="1"/>
    </row>
    <row r="39" spans="1:21" ht="16.5" thickBot="1" x14ac:dyDescent="0.3">
      <c r="A39" s="34"/>
      <c r="B39" s="34"/>
      <c r="C39" s="43"/>
      <c r="D39" s="75"/>
      <c r="E39" s="44"/>
      <c r="F39" s="44"/>
      <c r="G39" s="91"/>
      <c r="H39" s="91"/>
      <c r="I39" s="91"/>
      <c r="J39" s="44"/>
      <c r="K39" s="77"/>
      <c r="L39" s="77"/>
      <c r="M39" s="75"/>
      <c r="N39" s="75"/>
      <c r="O39" s="43"/>
      <c r="P39" s="43"/>
      <c r="Q39" s="43"/>
      <c r="R39" s="1"/>
      <c r="S39" s="1"/>
      <c r="T39" s="1"/>
      <c r="U39" s="1"/>
    </row>
    <row r="40" spans="1:21" ht="16.5" thickBot="1" x14ac:dyDescent="0.3">
      <c r="A40" s="34"/>
      <c r="B40" s="34"/>
      <c r="C40" s="43"/>
      <c r="D40" s="75" t="s">
        <v>65</v>
      </c>
      <c r="E40" s="46"/>
      <c r="F40" s="46"/>
      <c r="G40" s="88"/>
      <c r="H40" s="88"/>
      <c r="I40" s="88"/>
      <c r="J40" s="46"/>
      <c r="K40" s="77">
        <v>0</v>
      </c>
      <c r="L40" s="77"/>
      <c r="M40" s="73">
        <f>SUM(K40:L45)</f>
        <v>0</v>
      </c>
      <c r="N40" s="73"/>
      <c r="O40" s="43"/>
      <c r="P40" s="43"/>
      <c r="Q40" s="43"/>
      <c r="R40" s="1"/>
      <c r="S40" s="1"/>
      <c r="T40" s="1"/>
      <c r="U40" s="1"/>
    </row>
    <row r="41" spans="1:21" ht="16.5" thickBot="1" x14ac:dyDescent="0.3">
      <c r="A41" s="34"/>
      <c r="B41" s="34"/>
      <c r="C41" s="34"/>
      <c r="D41" s="75"/>
      <c r="E41" s="46"/>
      <c r="F41" s="46"/>
      <c r="G41" s="88"/>
      <c r="H41" s="88"/>
      <c r="I41" s="88"/>
      <c r="J41" s="46"/>
      <c r="K41" s="77">
        <v>0</v>
      </c>
      <c r="L41" s="77"/>
      <c r="M41" s="74"/>
      <c r="N41" s="74"/>
      <c r="O41" s="43"/>
      <c r="P41" s="43"/>
      <c r="Q41" s="43"/>
      <c r="R41" s="1"/>
      <c r="S41" s="1"/>
      <c r="T41" s="1"/>
      <c r="U41" s="1"/>
    </row>
    <row r="42" spans="1:21" ht="16.5" thickBot="1" x14ac:dyDescent="0.3">
      <c r="A42" s="34"/>
      <c r="B42" s="34"/>
      <c r="C42" s="34"/>
      <c r="D42" s="75"/>
      <c r="E42" s="46"/>
      <c r="F42" s="46"/>
      <c r="G42" s="88"/>
      <c r="H42" s="88"/>
      <c r="I42" s="88"/>
      <c r="J42" s="46"/>
      <c r="K42" s="77">
        <v>0</v>
      </c>
      <c r="L42" s="77"/>
      <c r="M42" s="74"/>
      <c r="N42" s="74"/>
      <c r="O42" s="43"/>
      <c r="P42" s="43"/>
      <c r="Q42" s="43"/>
      <c r="R42" s="1"/>
      <c r="S42" s="1"/>
      <c r="T42" s="1"/>
      <c r="U42" s="1"/>
    </row>
    <row r="43" spans="1:21" ht="16.5" thickBot="1" x14ac:dyDescent="0.3">
      <c r="A43" s="34"/>
      <c r="B43" s="34"/>
      <c r="C43" s="34"/>
      <c r="D43" s="75"/>
      <c r="E43" s="46"/>
      <c r="F43" s="46"/>
      <c r="G43" s="88"/>
      <c r="H43" s="88"/>
      <c r="I43" s="88"/>
      <c r="J43" s="46"/>
      <c r="K43" s="77">
        <v>0</v>
      </c>
      <c r="L43" s="77"/>
      <c r="M43" s="74"/>
      <c r="N43" s="74"/>
      <c r="O43" s="43"/>
      <c r="P43" s="43"/>
      <c r="Q43" s="43"/>
      <c r="R43" s="1"/>
      <c r="S43" s="1"/>
      <c r="T43" s="1"/>
      <c r="U43" s="1"/>
    </row>
    <row r="44" spans="1:21" ht="16.5" thickBot="1" x14ac:dyDescent="0.3">
      <c r="A44" s="34"/>
      <c r="B44" s="34"/>
      <c r="C44" s="34"/>
      <c r="D44" s="75"/>
      <c r="E44" s="46"/>
      <c r="F44" s="46"/>
      <c r="G44" s="88"/>
      <c r="H44" s="88"/>
      <c r="I44" s="88"/>
      <c r="J44" s="46"/>
      <c r="K44" s="77">
        <v>0</v>
      </c>
      <c r="L44" s="77"/>
      <c r="M44" s="74"/>
      <c r="N44" s="74"/>
      <c r="O44" s="43"/>
      <c r="P44" s="43"/>
      <c r="Q44" s="43"/>
      <c r="R44" s="1"/>
      <c r="S44" s="1"/>
      <c r="T44" s="1"/>
      <c r="U44" s="1"/>
    </row>
    <row r="45" spans="1:21" ht="16.5" thickBot="1" x14ac:dyDescent="0.3">
      <c r="A45" s="34"/>
      <c r="B45" s="34"/>
      <c r="C45" s="34"/>
      <c r="D45" s="75"/>
      <c r="E45" s="46"/>
      <c r="F45" s="46"/>
      <c r="G45" s="88"/>
      <c r="H45" s="88"/>
      <c r="I45" s="88"/>
      <c r="J45" s="46"/>
      <c r="K45" s="77">
        <v>0</v>
      </c>
      <c r="L45" s="77"/>
      <c r="M45" s="75"/>
      <c r="N45" s="75"/>
      <c r="O45" s="43"/>
      <c r="P45" s="43"/>
      <c r="Q45" s="43"/>
      <c r="R45" s="1"/>
      <c r="S45" s="1"/>
      <c r="T45" s="1"/>
      <c r="U45" s="1"/>
    </row>
    <row r="46" spans="1:21" ht="16.5" thickBot="1" x14ac:dyDescent="0.3">
      <c r="A46" s="34"/>
      <c r="B46" s="34"/>
      <c r="C46" s="34"/>
      <c r="D46" s="75" t="s">
        <v>21</v>
      </c>
      <c r="E46" s="46"/>
      <c r="F46" s="46"/>
      <c r="G46" s="88"/>
      <c r="H46" s="88"/>
      <c r="I46" s="88"/>
      <c r="J46" s="46"/>
      <c r="K46" s="77">
        <v>0</v>
      </c>
      <c r="L46" s="77"/>
      <c r="M46" s="73">
        <f>SUM(K46:L51)</f>
        <v>0</v>
      </c>
      <c r="N46" s="73"/>
      <c r="O46" s="43"/>
      <c r="P46" s="43"/>
      <c r="Q46" s="43"/>
      <c r="R46" s="1"/>
      <c r="S46" s="1"/>
      <c r="T46" s="1"/>
      <c r="U46" s="1"/>
    </row>
    <row r="47" spans="1:21" ht="16.5" thickBot="1" x14ac:dyDescent="0.3">
      <c r="A47" s="34"/>
      <c r="B47" s="34"/>
      <c r="C47" s="34"/>
      <c r="D47" s="75"/>
      <c r="E47" s="46"/>
      <c r="F47" s="46"/>
      <c r="G47" s="88"/>
      <c r="H47" s="88"/>
      <c r="I47" s="88"/>
      <c r="J47" s="46"/>
      <c r="K47" s="77">
        <v>0</v>
      </c>
      <c r="L47" s="77"/>
      <c r="M47" s="74"/>
      <c r="N47" s="74"/>
      <c r="O47" s="43"/>
      <c r="P47" s="43"/>
      <c r="Q47" s="43"/>
      <c r="R47" s="1"/>
      <c r="S47" s="1"/>
      <c r="T47" s="1"/>
      <c r="U47" s="1"/>
    </row>
    <row r="48" spans="1:21" ht="16.5" thickBot="1" x14ac:dyDescent="0.3">
      <c r="A48" s="34"/>
      <c r="B48" s="34"/>
      <c r="C48" s="34"/>
      <c r="D48" s="75"/>
      <c r="E48" s="46"/>
      <c r="F48" s="46"/>
      <c r="G48" s="88"/>
      <c r="H48" s="88"/>
      <c r="I48" s="88"/>
      <c r="J48" s="46"/>
      <c r="K48" s="77">
        <v>0</v>
      </c>
      <c r="L48" s="77"/>
      <c r="M48" s="74"/>
      <c r="N48" s="74"/>
      <c r="O48" s="43"/>
      <c r="P48" s="43"/>
      <c r="Q48" s="43"/>
      <c r="R48" s="1"/>
      <c r="S48" s="1"/>
      <c r="T48" s="1"/>
      <c r="U48" s="1"/>
    </row>
    <row r="49" spans="1:21" ht="16.5" thickBot="1" x14ac:dyDescent="0.3">
      <c r="A49" s="34"/>
      <c r="B49" s="34"/>
      <c r="C49" s="34"/>
      <c r="D49" s="75"/>
      <c r="E49" s="46"/>
      <c r="F49" s="46"/>
      <c r="G49" s="88"/>
      <c r="H49" s="88"/>
      <c r="I49" s="88"/>
      <c r="J49" s="46"/>
      <c r="K49" s="77">
        <v>0</v>
      </c>
      <c r="L49" s="77"/>
      <c r="M49" s="74"/>
      <c r="N49" s="74"/>
      <c r="O49" s="43"/>
      <c r="P49" s="43"/>
      <c r="Q49" s="43"/>
      <c r="R49" s="1"/>
      <c r="S49" s="1"/>
      <c r="T49" s="1"/>
      <c r="U49" s="1"/>
    </row>
    <row r="50" spans="1:21" ht="16.5" thickBot="1" x14ac:dyDescent="0.3">
      <c r="A50" s="34"/>
      <c r="B50" s="34"/>
      <c r="C50" s="34"/>
      <c r="D50" s="75"/>
      <c r="E50" s="46"/>
      <c r="F50" s="46"/>
      <c r="G50" s="88"/>
      <c r="H50" s="88"/>
      <c r="I50" s="88"/>
      <c r="J50" s="46"/>
      <c r="K50" s="77">
        <v>0</v>
      </c>
      <c r="L50" s="77"/>
      <c r="M50" s="74"/>
      <c r="N50" s="74"/>
      <c r="O50" s="43"/>
      <c r="P50" s="43"/>
      <c r="Q50" s="43"/>
      <c r="R50" s="1"/>
      <c r="S50" s="1"/>
      <c r="T50" s="1"/>
      <c r="U50" s="1"/>
    </row>
    <row r="51" spans="1:21" ht="16.5" thickBot="1" x14ac:dyDescent="0.3">
      <c r="A51" s="34"/>
      <c r="B51" s="34"/>
      <c r="C51" s="34"/>
      <c r="D51" s="75"/>
      <c r="E51" s="46"/>
      <c r="F51" s="46"/>
      <c r="G51" s="88"/>
      <c r="H51" s="88"/>
      <c r="I51" s="88"/>
      <c r="J51" s="46"/>
      <c r="K51" s="77">
        <v>0</v>
      </c>
      <c r="L51" s="77"/>
      <c r="M51" s="75"/>
      <c r="N51" s="75"/>
      <c r="O51" s="43"/>
      <c r="P51" s="43"/>
      <c r="Q51" s="43"/>
      <c r="R51" s="1"/>
      <c r="S51" s="1"/>
      <c r="T51" s="1"/>
      <c r="U51" s="1"/>
    </row>
    <row r="52" spans="1:21" ht="16.5" thickBot="1" x14ac:dyDescent="0.3">
      <c r="A52" s="34"/>
      <c r="B52" s="34"/>
      <c r="C52" s="34"/>
      <c r="D52" s="75" t="s">
        <v>11</v>
      </c>
      <c r="E52" s="46"/>
      <c r="F52" s="46"/>
      <c r="G52" s="88"/>
      <c r="H52" s="88"/>
      <c r="I52" s="88"/>
      <c r="J52" s="46"/>
      <c r="K52" s="77">
        <v>0</v>
      </c>
      <c r="L52" s="77"/>
      <c r="M52" s="73">
        <f>SUM(K52:L57)</f>
        <v>0</v>
      </c>
      <c r="N52" s="73"/>
      <c r="O52" s="43"/>
      <c r="P52" s="43"/>
      <c r="Q52" s="43"/>
      <c r="R52" s="1"/>
      <c r="S52" s="1"/>
      <c r="T52" s="1"/>
      <c r="U52" s="1"/>
    </row>
    <row r="53" spans="1:21" ht="16.5" thickBot="1" x14ac:dyDescent="0.3">
      <c r="A53" s="34"/>
      <c r="B53" s="34"/>
      <c r="C53" s="34"/>
      <c r="D53" s="75"/>
      <c r="E53" s="46"/>
      <c r="F53" s="46"/>
      <c r="G53" s="88"/>
      <c r="H53" s="88"/>
      <c r="I53" s="88"/>
      <c r="J53" s="46"/>
      <c r="K53" s="77">
        <v>0</v>
      </c>
      <c r="L53" s="77"/>
      <c r="M53" s="74"/>
      <c r="N53" s="74"/>
      <c r="O53" s="43"/>
      <c r="P53" s="43"/>
      <c r="Q53" s="43"/>
      <c r="R53" s="1"/>
      <c r="S53" s="1"/>
      <c r="T53" s="1"/>
      <c r="U53" s="1"/>
    </row>
    <row r="54" spans="1:21" ht="16.5" thickBot="1" x14ac:dyDescent="0.3">
      <c r="A54" s="34"/>
      <c r="B54" s="34"/>
      <c r="C54" s="34"/>
      <c r="D54" s="75"/>
      <c r="E54" s="46"/>
      <c r="F54" s="46"/>
      <c r="G54" s="88"/>
      <c r="H54" s="88"/>
      <c r="I54" s="88"/>
      <c r="J54" s="46"/>
      <c r="K54" s="77">
        <v>0</v>
      </c>
      <c r="L54" s="77"/>
      <c r="M54" s="74"/>
      <c r="N54" s="74"/>
      <c r="O54" s="43"/>
      <c r="P54" s="43"/>
      <c r="Q54" s="43"/>
      <c r="R54" s="1"/>
      <c r="S54" s="1"/>
      <c r="T54" s="1"/>
      <c r="U54" s="1"/>
    </row>
    <row r="55" spans="1:21" ht="16.5" thickBot="1" x14ac:dyDescent="0.3">
      <c r="A55" s="34"/>
      <c r="B55" s="34"/>
      <c r="C55" s="34"/>
      <c r="D55" s="75"/>
      <c r="E55" s="46"/>
      <c r="F55" s="46"/>
      <c r="G55" s="88"/>
      <c r="H55" s="88"/>
      <c r="I55" s="88"/>
      <c r="J55" s="46"/>
      <c r="K55" s="77">
        <v>0</v>
      </c>
      <c r="L55" s="77"/>
      <c r="M55" s="74"/>
      <c r="N55" s="74"/>
      <c r="O55" s="43"/>
      <c r="P55" s="43"/>
      <c r="Q55" s="43"/>
      <c r="R55" s="1"/>
      <c r="S55" s="1"/>
      <c r="T55" s="1"/>
      <c r="U55" s="1"/>
    </row>
    <row r="56" spans="1:21" ht="16.5" thickBot="1" x14ac:dyDescent="0.3">
      <c r="A56" s="34"/>
      <c r="B56" s="34"/>
      <c r="C56" s="34"/>
      <c r="D56" s="75"/>
      <c r="E56" s="46"/>
      <c r="F56" s="46"/>
      <c r="G56" s="88"/>
      <c r="H56" s="88"/>
      <c r="I56" s="88"/>
      <c r="J56" s="46"/>
      <c r="K56" s="77">
        <v>0</v>
      </c>
      <c r="L56" s="77"/>
      <c r="M56" s="74"/>
      <c r="N56" s="74"/>
      <c r="O56" s="43"/>
      <c r="P56" s="43"/>
      <c r="Q56" s="43"/>
      <c r="R56" s="1"/>
      <c r="S56" s="1"/>
      <c r="T56" s="1"/>
      <c r="U56" s="1"/>
    </row>
    <row r="57" spans="1:21" ht="16.5" thickBot="1" x14ac:dyDescent="0.3">
      <c r="A57" s="34"/>
      <c r="B57" s="34"/>
      <c r="C57" s="34"/>
      <c r="D57" s="75"/>
      <c r="E57" s="46"/>
      <c r="F57" s="46"/>
      <c r="G57" s="88"/>
      <c r="H57" s="88"/>
      <c r="I57" s="88"/>
      <c r="J57" s="46"/>
      <c r="K57" s="77">
        <v>0</v>
      </c>
      <c r="L57" s="77"/>
      <c r="M57" s="75"/>
      <c r="N57" s="75"/>
      <c r="O57" s="43"/>
      <c r="P57" s="43"/>
      <c r="Q57" s="43"/>
      <c r="R57" s="1"/>
      <c r="S57" s="1"/>
      <c r="T57" s="1"/>
      <c r="U57" s="1"/>
    </row>
    <row r="58" spans="1:21" ht="16.5" thickBot="1" x14ac:dyDescent="0.3">
      <c r="A58" s="34"/>
      <c r="B58" s="34"/>
      <c r="C58" s="34"/>
      <c r="D58" s="75" t="s">
        <v>11</v>
      </c>
      <c r="E58" s="47"/>
      <c r="F58" s="47"/>
      <c r="G58" s="88"/>
      <c r="H58" s="88"/>
      <c r="I58" s="88"/>
      <c r="J58" s="48"/>
      <c r="K58" s="77">
        <v>0</v>
      </c>
      <c r="L58" s="77"/>
      <c r="M58" s="73">
        <f>SUM(K58:L63)</f>
        <v>0</v>
      </c>
      <c r="N58" s="73"/>
      <c r="O58" s="43"/>
      <c r="P58" s="43"/>
      <c r="Q58" s="43"/>
      <c r="R58" s="1"/>
      <c r="S58" s="1"/>
      <c r="T58" s="1"/>
      <c r="U58" s="1"/>
    </row>
    <row r="59" spans="1:21" ht="16.5" thickBot="1" x14ac:dyDescent="0.3">
      <c r="A59" s="34"/>
      <c r="B59" s="34"/>
      <c r="C59" s="34"/>
      <c r="D59" s="75"/>
      <c r="E59" s="47"/>
      <c r="F59" s="47"/>
      <c r="G59" s="88"/>
      <c r="H59" s="88"/>
      <c r="I59" s="88"/>
      <c r="J59" s="47"/>
      <c r="K59" s="77">
        <v>0</v>
      </c>
      <c r="L59" s="77"/>
      <c r="M59" s="74"/>
      <c r="N59" s="74"/>
      <c r="O59" s="43"/>
      <c r="P59" s="43"/>
      <c r="Q59" s="43"/>
      <c r="R59" s="1"/>
      <c r="S59" s="1"/>
      <c r="T59" s="1"/>
      <c r="U59" s="1"/>
    </row>
    <row r="60" spans="1:21" ht="16.5" thickBot="1" x14ac:dyDescent="0.3">
      <c r="A60" s="34"/>
      <c r="B60" s="34"/>
      <c r="C60" s="34"/>
      <c r="D60" s="75"/>
      <c r="E60" s="47"/>
      <c r="F60" s="47"/>
      <c r="G60" s="88"/>
      <c r="H60" s="88"/>
      <c r="I60" s="88"/>
      <c r="J60" s="47"/>
      <c r="K60" s="77">
        <v>0</v>
      </c>
      <c r="L60" s="77"/>
      <c r="M60" s="74"/>
      <c r="N60" s="74"/>
      <c r="O60" s="43"/>
      <c r="P60" s="43"/>
      <c r="Q60" s="43"/>
      <c r="R60" s="1"/>
      <c r="S60" s="1"/>
      <c r="T60" s="1"/>
      <c r="U60" s="1"/>
    </row>
    <row r="61" spans="1:21" ht="16.5" thickBot="1" x14ac:dyDescent="0.3">
      <c r="A61" s="34"/>
      <c r="B61" s="34"/>
      <c r="C61" s="34"/>
      <c r="D61" s="75"/>
      <c r="E61" s="47"/>
      <c r="F61" s="47"/>
      <c r="G61" s="88"/>
      <c r="H61" s="88"/>
      <c r="I61" s="88"/>
      <c r="J61" s="47"/>
      <c r="K61" s="77">
        <v>0</v>
      </c>
      <c r="L61" s="77"/>
      <c r="M61" s="74"/>
      <c r="N61" s="74"/>
      <c r="O61" s="43"/>
      <c r="P61" s="43"/>
      <c r="Q61" s="43"/>
      <c r="R61" s="1"/>
      <c r="S61" s="1"/>
      <c r="T61" s="1"/>
      <c r="U61" s="1"/>
    </row>
    <row r="62" spans="1:21" ht="16.5" thickBot="1" x14ac:dyDescent="0.3">
      <c r="A62" s="34"/>
      <c r="B62" s="34"/>
      <c r="C62" s="34"/>
      <c r="D62" s="75"/>
      <c r="E62" s="47"/>
      <c r="F62" s="47"/>
      <c r="G62" s="88"/>
      <c r="H62" s="88"/>
      <c r="I62" s="88"/>
      <c r="J62" s="47"/>
      <c r="K62" s="77">
        <v>0</v>
      </c>
      <c r="L62" s="77"/>
      <c r="M62" s="74"/>
      <c r="N62" s="74"/>
      <c r="O62" s="43"/>
      <c r="P62" s="43"/>
      <c r="Q62" s="43"/>
      <c r="R62" s="1"/>
      <c r="S62" s="1"/>
      <c r="T62" s="1"/>
      <c r="U62" s="1"/>
    </row>
    <row r="63" spans="1:21" ht="16.5" thickBot="1" x14ac:dyDescent="0.3">
      <c r="A63" s="34"/>
      <c r="B63" s="34"/>
      <c r="C63" s="34"/>
      <c r="D63" s="75"/>
      <c r="E63" s="47"/>
      <c r="F63" s="47"/>
      <c r="G63" s="88"/>
      <c r="H63" s="88"/>
      <c r="I63" s="88"/>
      <c r="J63" s="47"/>
      <c r="K63" s="77">
        <v>0</v>
      </c>
      <c r="L63" s="77"/>
      <c r="M63" s="75"/>
      <c r="N63" s="75"/>
      <c r="O63" s="43"/>
      <c r="P63" s="43"/>
      <c r="Q63" s="43"/>
      <c r="R63" s="1"/>
      <c r="S63" s="1"/>
      <c r="T63" s="1"/>
      <c r="U63" s="1"/>
    </row>
    <row r="64" spans="1:21" ht="16.5" thickBot="1" x14ac:dyDescent="0.3">
      <c r="A64" s="34"/>
      <c r="B64" s="34"/>
      <c r="C64" s="34"/>
      <c r="D64" s="75" t="s">
        <v>11</v>
      </c>
      <c r="E64" s="47"/>
      <c r="F64" s="47"/>
      <c r="G64" s="88"/>
      <c r="H64" s="88"/>
      <c r="I64" s="88"/>
      <c r="J64" s="47"/>
      <c r="K64" s="77">
        <v>0</v>
      </c>
      <c r="L64" s="77"/>
      <c r="M64" s="73">
        <f>SUM(K64:L69)</f>
        <v>0</v>
      </c>
      <c r="N64" s="73"/>
      <c r="O64" s="43"/>
      <c r="P64" s="43"/>
      <c r="Q64" s="43"/>
      <c r="R64" s="1"/>
      <c r="S64" s="1"/>
      <c r="T64" s="1"/>
      <c r="U64" s="1"/>
    </row>
    <row r="65" spans="1:21" ht="16.5" thickBot="1" x14ac:dyDescent="0.3">
      <c r="A65" s="34"/>
      <c r="B65" s="34"/>
      <c r="C65" s="34"/>
      <c r="D65" s="75"/>
      <c r="E65" s="47"/>
      <c r="F65" s="47"/>
      <c r="G65" s="88"/>
      <c r="H65" s="88"/>
      <c r="I65" s="88"/>
      <c r="J65" s="47"/>
      <c r="K65" s="77">
        <v>0</v>
      </c>
      <c r="L65" s="77"/>
      <c r="M65" s="74"/>
      <c r="N65" s="74"/>
      <c r="O65" s="43"/>
      <c r="P65" s="43"/>
      <c r="Q65" s="43"/>
      <c r="R65" s="1"/>
      <c r="S65" s="1"/>
      <c r="T65" s="1"/>
      <c r="U65" s="1"/>
    </row>
    <row r="66" spans="1:21" ht="16.5" thickBot="1" x14ac:dyDescent="0.3">
      <c r="A66" s="34"/>
      <c r="B66" s="34"/>
      <c r="C66" s="34"/>
      <c r="D66" s="75"/>
      <c r="E66" s="47"/>
      <c r="F66" s="47"/>
      <c r="G66" s="88"/>
      <c r="H66" s="88"/>
      <c r="I66" s="88"/>
      <c r="J66" s="47"/>
      <c r="K66" s="77">
        <v>0</v>
      </c>
      <c r="L66" s="77"/>
      <c r="M66" s="74"/>
      <c r="N66" s="74"/>
      <c r="O66" s="43"/>
      <c r="P66" s="43"/>
      <c r="Q66" s="43"/>
      <c r="R66" s="1"/>
      <c r="S66" s="1"/>
      <c r="T66" s="1"/>
      <c r="U66" s="1"/>
    </row>
    <row r="67" spans="1:21" ht="16.5" thickBot="1" x14ac:dyDescent="0.3">
      <c r="A67" s="34"/>
      <c r="B67" s="34"/>
      <c r="C67" s="34"/>
      <c r="D67" s="75"/>
      <c r="E67" s="47"/>
      <c r="F67" s="47"/>
      <c r="G67" s="88"/>
      <c r="H67" s="88"/>
      <c r="I67" s="88"/>
      <c r="J67" s="47"/>
      <c r="K67" s="77">
        <v>0</v>
      </c>
      <c r="L67" s="77"/>
      <c r="M67" s="74"/>
      <c r="N67" s="74"/>
      <c r="O67" s="43"/>
      <c r="P67" s="43"/>
      <c r="Q67" s="43"/>
      <c r="R67" s="1"/>
      <c r="S67" s="1"/>
      <c r="T67" s="1"/>
      <c r="U67" s="1"/>
    </row>
    <row r="68" spans="1:21" ht="16.5" thickBot="1" x14ac:dyDescent="0.3">
      <c r="A68" s="34"/>
      <c r="B68" s="34"/>
      <c r="C68" s="34"/>
      <c r="D68" s="75"/>
      <c r="E68" s="47"/>
      <c r="F68" s="47"/>
      <c r="G68" s="88"/>
      <c r="H68" s="88"/>
      <c r="I68" s="88"/>
      <c r="J68" s="47"/>
      <c r="K68" s="77">
        <v>0</v>
      </c>
      <c r="L68" s="77"/>
      <c r="M68" s="74"/>
      <c r="N68" s="74"/>
      <c r="O68" s="43"/>
      <c r="P68" s="43"/>
      <c r="Q68" s="43"/>
      <c r="R68" s="1"/>
      <c r="S68" s="1"/>
      <c r="T68" s="1"/>
      <c r="U68" s="1"/>
    </row>
    <row r="69" spans="1:21" ht="16.5" thickBot="1" x14ac:dyDescent="0.3">
      <c r="A69" s="34"/>
      <c r="B69" s="34"/>
      <c r="C69" s="34"/>
      <c r="D69" s="75"/>
      <c r="E69" s="47"/>
      <c r="F69" s="47"/>
      <c r="G69" s="88"/>
      <c r="H69" s="88"/>
      <c r="I69" s="88"/>
      <c r="J69" s="47"/>
      <c r="K69" s="77">
        <v>0</v>
      </c>
      <c r="L69" s="77"/>
      <c r="M69" s="75"/>
      <c r="N69" s="75"/>
      <c r="O69" s="43"/>
      <c r="P69" s="43"/>
      <c r="Q69" s="43"/>
      <c r="R69" s="1"/>
      <c r="S69" s="1"/>
      <c r="T69" s="1"/>
      <c r="U69" s="1"/>
    </row>
    <row r="70" spans="1:21" ht="16.5" thickBot="1" x14ac:dyDescent="0.3">
      <c r="A70" s="34"/>
      <c r="B70" s="34"/>
      <c r="C70" s="34"/>
      <c r="D70" s="75" t="s">
        <v>11</v>
      </c>
      <c r="E70" s="47"/>
      <c r="F70" s="47"/>
      <c r="G70" s="88"/>
      <c r="H70" s="88"/>
      <c r="I70" s="88"/>
      <c r="J70" s="47"/>
      <c r="K70" s="77">
        <v>0</v>
      </c>
      <c r="L70" s="77"/>
      <c r="M70" s="73">
        <f>SUM(K70:L75)</f>
        <v>0</v>
      </c>
      <c r="N70" s="73"/>
      <c r="O70" s="43"/>
      <c r="P70" s="43"/>
      <c r="Q70" s="43"/>
      <c r="R70" s="1"/>
      <c r="S70" s="1"/>
      <c r="T70" s="1"/>
      <c r="U70" s="1"/>
    </row>
    <row r="71" spans="1:21" ht="16.5" thickBot="1" x14ac:dyDescent="0.3">
      <c r="A71" s="34"/>
      <c r="B71" s="34"/>
      <c r="C71" s="34"/>
      <c r="D71" s="75"/>
      <c r="E71" s="47"/>
      <c r="F71" s="47"/>
      <c r="G71" s="88"/>
      <c r="H71" s="88"/>
      <c r="I71" s="88"/>
      <c r="J71" s="47"/>
      <c r="K71" s="77">
        <v>0</v>
      </c>
      <c r="L71" s="77"/>
      <c r="M71" s="74"/>
      <c r="N71" s="74"/>
      <c r="O71" s="43"/>
      <c r="P71" s="43"/>
      <c r="Q71" s="43"/>
      <c r="R71" s="1"/>
      <c r="S71" s="1"/>
      <c r="T71" s="1"/>
      <c r="U71" s="1"/>
    </row>
    <row r="72" spans="1:21" ht="16.5" thickBot="1" x14ac:dyDescent="0.3">
      <c r="A72" s="34"/>
      <c r="B72" s="34"/>
      <c r="C72" s="34"/>
      <c r="D72" s="75"/>
      <c r="E72" s="47"/>
      <c r="F72" s="47"/>
      <c r="G72" s="88"/>
      <c r="H72" s="88"/>
      <c r="I72" s="88"/>
      <c r="J72" s="47"/>
      <c r="K72" s="77">
        <v>0</v>
      </c>
      <c r="L72" s="77"/>
      <c r="M72" s="74"/>
      <c r="N72" s="74"/>
      <c r="O72" s="43"/>
      <c r="P72" s="43"/>
      <c r="Q72" s="43"/>
      <c r="R72" s="1"/>
      <c r="S72" s="1"/>
      <c r="T72" s="1"/>
      <c r="U72" s="1"/>
    </row>
    <row r="73" spans="1:21" ht="16.5" thickBot="1" x14ac:dyDescent="0.3">
      <c r="A73" s="34"/>
      <c r="B73" s="34"/>
      <c r="C73" s="34"/>
      <c r="D73" s="75"/>
      <c r="E73" s="47"/>
      <c r="F73" s="47"/>
      <c r="G73" s="88"/>
      <c r="H73" s="88"/>
      <c r="I73" s="88"/>
      <c r="J73" s="47"/>
      <c r="K73" s="77">
        <v>0</v>
      </c>
      <c r="L73" s="77"/>
      <c r="M73" s="74"/>
      <c r="N73" s="74"/>
      <c r="O73" s="43"/>
      <c r="P73" s="43"/>
      <c r="Q73" s="43"/>
      <c r="R73" s="1"/>
      <c r="S73" s="1"/>
      <c r="T73" s="1"/>
      <c r="U73" s="1"/>
    </row>
    <row r="74" spans="1:21" ht="16.5" thickBot="1" x14ac:dyDescent="0.3">
      <c r="A74" s="34"/>
      <c r="B74" s="34"/>
      <c r="C74" s="34"/>
      <c r="D74" s="75"/>
      <c r="E74" s="47"/>
      <c r="F74" s="47"/>
      <c r="G74" s="88"/>
      <c r="H74" s="88"/>
      <c r="I74" s="88"/>
      <c r="J74" s="47"/>
      <c r="K74" s="77">
        <v>0</v>
      </c>
      <c r="L74" s="77"/>
      <c r="M74" s="74"/>
      <c r="N74" s="74"/>
      <c r="O74" s="43"/>
      <c r="P74" s="43"/>
      <c r="Q74" s="43"/>
      <c r="R74" s="1"/>
      <c r="S74" s="1"/>
      <c r="T74" s="1"/>
      <c r="U74" s="1"/>
    </row>
    <row r="75" spans="1:21" ht="16.5" thickBot="1" x14ac:dyDescent="0.3">
      <c r="A75" s="34"/>
      <c r="B75" s="34"/>
      <c r="C75" s="34"/>
      <c r="D75" s="75"/>
      <c r="E75" s="47"/>
      <c r="F75" s="47"/>
      <c r="G75" s="88"/>
      <c r="H75" s="88"/>
      <c r="I75" s="88"/>
      <c r="J75" s="47"/>
      <c r="K75" s="77">
        <v>0</v>
      </c>
      <c r="L75" s="77"/>
      <c r="M75" s="75"/>
      <c r="N75" s="75"/>
      <c r="O75" s="43"/>
      <c r="P75" s="43"/>
      <c r="Q75" s="43"/>
      <c r="R75" s="1"/>
      <c r="S75" s="1"/>
      <c r="T75" s="1"/>
      <c r="U75" s="1"/>
    </row>
    <row r="76" spans="1:21" ht="16.5" thickBot="1" x14ac:dyDescent="0.3">
      <c r="A76" s="34"/>
      <c r="B76" s="34"/>
      <c r="C76" s="34"/>
      <c r="D76" s="75" t="s">
        <v>11</v>
      </c>
      <c r="E76" s="47"/>
      <c r="F76" s="47"/>
      <c r="G76" s="88"/>
      <c r="H76" s="88"/>
      <c r="I76" s="88"/>
      <c r="J76" s="47"/>
      <c r="K76" s="77">
        <v>0</v>
      </c>
      <c r="L76" s="77"/>
      <c r="M76" s="73">
        <f>SUM(K76:L81)</f>
        <v>0</v>
      </c>
      <c r="N76" s="73"/>
      <c r="O76" s="43"/>
      <c r="P76" s="43"/>
      <c r="Q76" s="43"/>
      <c r="R76" s="1"/>
      <c r="S76" s="1"/>
      <c r="T76" s="1"/>
      <c r="U76" s="1"/>
    </row>
    <row r="77" spans="1:21" ht="16.5" thickBot="1" x14ac:dyDescent="0.3">
      <c r="A77" s="34"/>
      <c r="B77" s="34"/>
      <c r="C77" s="34"/>
      <c r="D77" s="75"/>
      <c r="E77" s="47"/>
      <c r="F77" s="47"/>
      <c r="G77" s="88"/>
      <c r="H77" s="88"/>
      <c r="I77" s="88"/>
      <c r="J77" s="47"/>
      <c r="K77" s="77">
        <v>0</v>
      </c>
      <c r="L77" s="77"/>
      <c r="M77" s="74"/>
      <c r="N77" s="74"/>
      <c r="O77" s="43"/>
      <c r="P77" s="43"/>
      <c r="Q77" s="43"/>
      <c r="R77" s="1"/>
      <c r="S77" s="1"/>
      <c r="T77" s="1"/>
      <c r="U77" s="1"/>
    </row>
    <row r="78" spans="1:21" ht="16.5" thickBot="1" x14ac:dyDescent="0.3">
      <c r="A78" s="34"/>
      <c r="B78" s="34"/>
      <c r="C78" s="34"/>
      <c r="D78" s="75"/>
      <c r="E78" s="47"/>
      <c r="F78" s="47"/>
      <c r="G78" s="88"/>
      <c r="H78" s="88"/>
      <c r="I78" s="88"/>
      <c r="J78" s="47"/>
      <c r="K78" s="77">
        <v>0</v>
      </c>
      <c r="L78" s="77"/>
      <c r="M78" s="74"/>
      <c r="N78" s="74"/>
      <c r="O78" s="43"/>
      <c r="P78" s="43"/>
      <c r="Q78" s="43"/>
      <c r="R78" s="1"/>
      <c r="S78" s="1"/>
      <c r="T78" s="1"/>
      <c r="U78" s="1"/>
    </row>
    <row r="79" spans="1:21" ht="16.5" thickBot="1" x14ac:dyDescent="0.3">
      <c r="A79" s="34"/>
      <c r="B79" s="34"/>
      <c r="C79" s="34"/>
      <c r="D79" s="75"/>
      <c r="E79" s="47"/>
      <c r="F79" s="47"/>
      <c r="G79" s="88"/>
      <c r="H79" s="88"/>
      <c r="I79" s="88"/>
      <c r="J79" s="47"/>
      <c r="K79" s="77">
        <v>0</v>
      </c>
      <c r="L79" s="77"/>
      <c r="M79" s="74"/>
      <c r="N79" s="74"/>
      <c r="O79" s="43"/>
      <c r="P79" s="43"/>
      <c r="Q79" s="43"/>
      <c r="R79" s="1"/>
      <c r="S79" s="1"/>
      <c r="T79" s="1"/>
      <c r="U79" s="1"/>
    </row>
    <row r="80" spans="1:21" ht="16.5" thickBot="1" x14ac:dyDescent="0.3">
      <c r="A80" s="34"/>
      <c r="B80" s="34"/>
      <c r="C80" s="34"/>
      <c r="D80" s="75"/>
      <c r="E80" s="47"/>
      <c r="F80" s="47"/>
      <c r="G80" s="88"/>
      <c r="H80" s="88"/>
      <c r="I80" s="88"/>
      <c r="J80" s="47"/>
      <c r="K80" s="77">
        <v>0</v>
      </c>
      <c r="L80" s="77"/>
      <c r="M80" s="74"/>
      <c r="N80" s="74"/>
      <c r="O80" s="43"/>
      <c r="P80" s="43"/>
      <c r="Q80" s="43"/>
      <c r="R80" s="1"/>
      <c r="S80" s="1"/>
      <c r="T80" s="1"/>
      <c r="U80" s="1"/>
    </row>
    <row r="81" spans="1:21" ht="16.5" thickBot="1" x14ac:dyDescent="0.3">
      <c r="A81" s="34"/>
      <c r="B81" s="34"/>
      <c r="C81" s="34"/>
      <c r="D81" s="75"/>
      <c r="E81" s="47"/>
      <c r="F81" s="47"/>
      <c r="G81" s="88"/>
      <c r="H81" s="88"/>
      <c r="I81" s="88"/>
      <c r="J81" s="47"/>
      <c r="K81" s="77">
        <v>0</v>
      </c>
      <c r="L81" s="77"/>
      <c r="M81" s="75"/>
      <c r="N81" s="75"/>
      <c r="O81" s="43"/>
      <c r="P81" s="43"/>
      <c r="Q81" s="43"/>
      <c r="R81" s="1"/>
      <c r="S81" s="1"/>
      <c r="T81" s="1"/>
      <c r="U81" s="1"/>
    </row>
    <row r="82" spans="1:21" ht="15.75" thickBot="1" x14ac:dyDescent="0.3">
      <c r="A82" s="34"/>
      <c r="B82" s="34"/>
      <c r="C82" s="34"/>
      <c r="D82" s="45"/>
      <c r="E82" s="45"/>
      <c r="F82" s="45"/>
      <c r="G82" s="89"/>
      <c r="H82" s="89"/>
      <c r="I82" s="89"/>
      <c r="J82" s="45"/>
      <c r="K82" s="70"/>
      <c r="L82" s="70"/>
      <c r="M82" s="45"/>
      <c r="N82" s="45"/>
      <c r="O82" s="43"/>
      <c r="P82" s="43"/>
      <c r="Q82" s="43"/>
      <c r="R82" s="1"/>
      <c r="S82" s="1"/>
      <c r="T82" s="1"/>
      <c r="U82" s="1"/>
    </row>
    <row r="83" spans="1:21" x14ac:dyDescent="0.25">
      <c r="A83" s="34"/>
      <c r="B83" s="34"/>
      <c r="C83" s="34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</row>
    <row r="84" spans="1:21" x14ac:dyDescent="0.25">
      <c r="A84" s="34"/>
      <c r="B84" s="34"/>
      <c r="C84" s="34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x14ac:dyDescent="0.25">
      <c r="A85" s="34"/>
      <c r="B85" s="34"/>
      <c r="C85" s="34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</row>
    <row r="86" spans="1:21" x14ac:dyDescent="0.25">
      <c r="A86" s="34"/>
      <c r="B86" s="34"/>
      <c r="C86" s="34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</row>
    <row r="87" spans="1:21" x14ac:dyDescent="0.25">
      <c r="A87" s="34"/>
      <c r="B87" s="34"/>
      <c r="C87" s="34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</row>
    <row r="88" spans="1:21" x14ac:dyDescent="0.25">
      <c r="A88" s="34"/>
      <c r="B88" s="34"/>
      <c r="C88" s="34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1" x14ac:dyDescent="0.25">
      <c r="A89" s="34"/>
      <c r="B89" s="34"/>
      <c r="C89" s="34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1:21" x14ac:dyDescent="0.25">
      <c r="A90" s="34"/>
      <c r="B90" s="34"/>
      <c r="C90" s="34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</row>
    <row r="91" spans="1:2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</row>
    <row r="92" spans="1:2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1:2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</row>
    <row r="94" spans="1:2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</row>
    <row r="95" spans="1:2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</row>
    <row r="96" spans="1:2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</row>
    <row r="97" spans="1:2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</row>
    <row r="98" spans="1:2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</row>
    <row r="99" spans="1:2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</row>
    <row r="100" spans="1:2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</row>
    <row r="101" spans="1:2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</row>
    <row r="102" spans="1:2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</row>
    <row r="103" spans="1:2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</row>
    <row r="104" spans="1:2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</row>
    <row r="105" spans="1:2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</row>
    <row r="106" spans="1:2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</row>
    <row r="107" spans="1:2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</row>
    <row r="108" spans="1:21" x14ac:dyDescent="0.25">
      <c r="A108" s="1"/>
      <c r="B108" s="1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1"/>
      <c r="O108" s="1"/>
      <c r="P108" s="1"/>
      <c r="Q108" s="1"/>
      <c r="R108" s="1"/>
      <c r="S108" s="1"/>
      <c r="T108" s="1"/>
      <c r="U108" s="1"/>
    </row>
    <row r="109" spans="1:21" x14ac:dyDescent="0.25">
      <c r="A109" s="1"/>
      <c r="B109" s="1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1"/>
      <c r="O109" s="1"/>
      <c r="P109" s="1"/>
      <c r="Q109" s="1"/>
      <c r="R109" s="1"/>
      <c r="S109" s="1"/>
      <c r="T109" s="1"/>
      <c r="U109" s="1"/>
    </row>
    <row r="110" spans="1:21" x14ac:dyDescent="0.25">
      <c r="A110" s="1"/>
      <c r="B110" s="1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1"/>
      <c r="O110" s="1"/>
      <c r="P110" s="1"/>
      <c r="Q110" s="1"/>
      <c r="R110" s="1"/>
      <c r="S110" s="1"/>
      <c r="T110" s="1"/>
      <c r="U110" s="1"/>
    </row>
    <row r="111" spans="1:21" x14ac:dyDescent="0.25">
      <c r="A111" s="1"/>
      <c r="B111" s="1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1"/>
      <c r="O111" s="1"/>
      <c r="P111" s="1"/>
      <c r="Q111" s="1"/>
      <c r="R111" s="1"/>
      <c r="S111" s="1"/>
      <c r="T111" s="1"/>
      <c r="U111" s="1"/>
    </row>
    <row r="112" spans="1:21" x14ac:dyDescent="0.25">
      <c r="A112" s="1"/>
      <c r="B112" s="1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1"/>
      <c r="O112" s="1"/>
      <c r="P112" s="1"/>
      <c r="Q112" s="1"/>
      <c r="R112" s="1"/>
      <c r="S112" s="1"/>
      <c r="T112" s="1"/>
      <c r="U112" s="1"/>
    </row>
    <row r="113" spans="1:21" x14ac:dyDescent="0.25">
      <c r="A113" s="1"/>
      <c r="B113" s="1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1"/>
      <c r="O113" s="1"/>
      <c r="P113" s="1"/>
      <c r="Q113" s="1"/>
      <c r="R113" s="1"/>
      <c r="S113" s="1"/>
      <c r="T113" s="1"/>
      <c r="U113" s="1"/>
    </row>
    <row r="114" spans="1:21" x14ac:dyDescent="0.25">
      <c r="A114" s="1"/>
      <c r="B114" s="1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1"/>
      <c r="O114" s="1"/>
      <c r="P114" s="1"/>
      <c r="Q114" s="1"/>
      <c r="R114" s="1"/>
      <c r="S114" s="1"/>
      <c r="T114" s="1"/>
      <c r="U114" s="1"/>
    </row>
    <row r="115" spans="1:21" x14ac:dyDescent="0.25">
      <c r="A115" s="1"/>
      <c r="B115" s="1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1"/>
      <c r="O115" s="1"/>
      <c r="P115" s="1"/>
      <c r="Q115" s="1"/>
      <c r="R115" s="1"/>
      <c r="S115" s="1"/>
      <c r="T115" s="1"/>
      <c r="U115" s="1"/>
    </row>
    <row r="116" spans="1:21" x14ac:dyDescent="0.25">
      <c r="A116" s="1"/>
      <c r="B116" s="1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1"/>
      <c r="O116" s="1"/>
      <c r="P116" s="1"/>
      <c r="Q116" s="1"/>
      <c r="R116" s="1"/>
      <c r="S116" s="1"/>
      <c r="T116" s="1"/>
      <c r="U116" s="1"/>
    </row>
    <row r="117" spans="1:21" x14ac:dyDescent="0.25">
      <c r="A117" s="1"/>
      <c r="B117" s="1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1"/>
      <c r="O117" s="1"/>
      <c r="P117" s="1"/>
      <c r="Q117" s="1"/>
      <c r="R117" s="1"/>
      <c r="S117" s="1"/>
      <c r="T117" s="1"/>
      <c r="U117" s="1"/>
    </row>
    <row r="118" spans="1:21" x14ac:dyDescent="0.25">
      <c r="A118" s="1"/>
      <c r="B118" s="1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1"/>
      <c r="O118" s="1"/>
      <c r="P118" s="1"/>
      <c r="Q118" s="1"/>
      <c r="R118" s="1"/>
      <c r="S118" s="1"/>
      <c r="T118" s="1"/>
      <c r="U118" s="1"/>
    </row>
  </sheetData>
  <mergeCells count="120">
    <mergeCell ref="G33:I33"/>
    <mergeCell ref="K33:L33"/>
    <mergeCell ref="K38:L38"/>
    <mergeCell ref="D33:E33"/>
    <mergeCell ref="D34:D39"/>
    <mergeCell ref="G34:I34"/>
    <mergeCell ref="K34:L34"/>
    <mergeCell ref="G35:I35"/>
    <mergeCell ref="K35:L35"/>
    <mergeCell ref="G36:I36"/>
    <mergeCell ref="K36:L36"/>
    <mergeCell ref="G37:I37"/>
    <mergeCell ref="K37:L37"/>
    <mergeCell ref="G38:I38"/>
    <mergeCell ref="G43:I43"/>
    <mergeCell ref="K43:L43"/>
    <mergeCell ref="G44:I44"/>
    <mergeCell ref="K44:L44"/>
    <mergeCell ref="G45:I45"/>
    <mergeCell ref="K45:L45"/>
    <mergeCell ref="K50:L50"/>
    <mergeCell ref="G39:I39"/>
    <mergeCell ref="K39:L39"/>
    <mergeCell ref="G40:I40"/>
    <mergeCell ref="K40:L40"/>
    <mergeCell ref="G41:I41"/>
    <mergeCell ref="K41:L41"/>
    <mergeCell ref="G42:I42"/>
    <mergeCell ref="K42:L42"/>
    <mergeCell ref="G46:I46"/>
    <mergeCell ref="K46:L46"/>
    <mergeCell ref="G47:I47"/>
    <mergeCell ref="K47:L47"/>
    <mergeCell ref="G48:I48"/>
    <mergeCell ref="K48:L48"/>
    <mergeCell ref="G49:I49"/>
    <mergeCell ref="K49:L49"/>
    <mergeCell ref="G50:I50"/>
    <mergeCell ref="G55:I55"/>
    <mergeCell ref="K55:L55"/>
    <mergeCell ref="G56:I56"/>
    <mergeCell ref="K56:L56"/>
    <mergeCell ref="G57:I57"/>
    <mergeCell ref="K57:L57"/>
    <mergeCell ref="K62:L62"/>
    <mergeCell ref="D58:D63"/>
    <mergeCell ref="G51:I51"/>
    <mergeCell ref="K51:L51"/>
    <mergeCell ref="G52:I52"/>
    <mergeCell ref="K52:L52"/>
    <mergeCell ref="G53:I53"/>
    <mergeCell ref="K53:L53"/>
    <mergeCell ref="G54:I54"/>
    <mergeCell ref="K54:L54"/>
    <mergeCell ref="G58:I58"/>
    <mergeCell ref="K58:L58"/>
    <mergeCell ref="G59:I59"/>
    <mergeCell ref="K59:L59"/>
    <mergeCell ref="G60:I60"/>
    <mergeCell ref="K60:L60"/>
    <mergeCell ref="G61:I61"/>
    <mergeCell ref="K61:L61"/>
    <mergeCell ref="G62:I62"/>
    <mergeCell ref="G67:I67"/>
    <mergeCell ref="K67:L67"/>
    <mergeCell ref="G68:I68"/>
    <mergeCell ref="K68:L68"/>
    <mergeCell ref="G69:I69"/>
    <mergeCell ref="K69:L69"/>
    <mergeCell ref="K74:L74"/>
    <mergeCell ref="G63:I63"/>
    <mergeCell ref="K63:L63"/>
    <mergeCell ref="G64:I64"/>
    <mergeCell ref="K64:L64"/>
    <mergeCell ref="G65:I65"/>
    <mergeCell ref="K65:L65"/>
    <mergeCell ref="G66:I66"/>
    <mergeCell ref="K66:L66"/>
    <mergeCell ref="G70:I70"/>
    <mergeCell ref="K70:L70"/>
    <mergeCell ref="G71:I71"/>
    <mergeCell ref="K71:L71"/>
    <mergeCell ref="G72:I72"/>
    <mergeCell ref="K72:L72"/>
    <mergeCell ref="G73:I73"/>
    <mergeCell ref="K73:L73"/>
    <mergeCell ref="G74:I74"/>
    <mergeCell ref="K81:L81"/>
    <mergeCell ref="G75:I75"/>
    <mergeCell ref="K75:L75"/>
    <mergeCell ref="G76:I76"/>
    <mergeCell ref="K76:L76"/>
    <mergeCell ref="G77:I77"/>
    <mergeCell ref="K77:L77"/>
    <mergeCell ref="G78:I78"/>
    <mergeCell ref="K78:L78"/>
    <mergeCell ref="G82:I82"/>
    <mergeCell ref="K82:L82"/>
    <mergeCell ref="Q34:S34"/>
    <mergeCell ref="Q35:S35"/>
    <mergeCell ref="Q36:S36"/>
    <mergeCell ref="M58:N63"/>
    <mergeCell ref="D64:D69"/>
    <mergeCell ref="M64:N69"/>
    <mergeCell ref="D70:D75"/>
    <mergeCell ref="M70:N75"/>
    <mergeCell ref="D76:D81"/>
    <mergeCell ref="M76:N81"/>
    <mergeCell ref="M34:N39"/>
    <mergeCell ref="D40:D45"/>
    <mergeCell ref="M40:N45"/>
    <mergeCell ref="D46:D51"/>
    <mergeCell ref="M46:N51"/>
    <mergeCell ref="D52:D57"/>
    <mergeCell ref="M52:N57"/>
    <mergeCell ref="G79:I79"/>
    <mergeCell ref="K79:L79"/>
    <mergeCell ref="G80:I80"/>
    <mergeCell ref="K80:L80"/>
    <mergeCell ref="G81:I81"/>
  </mergeCells>
  <phoneticPr fontId="18" type="noConversion"/>
  <pageMargins left="0.511811024" right="0.511811024" top="0.78740157499999996" bottom="0.78740157499999996" header="0.31496062000000002" footer="0.31496062000000002"/>
  <pageSetup paperSize="259" orientation="portrait" horizontalDpi="203" verticalDpi="203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C81BF-8E22-489E-99F4-6B18F2D05C85}">
  <sheetPr codeName="Planilha5"/>
  <dimension ref="A1:W58"/>
  <sheetViews>
    <sheetView showGridLines="0" showRowColHeaders="0" workbookViewId="0">
      <selection activeCell="K13" sqref="K13"/>
    </sheetView>
  </sheetViews>
  <sheetFormatPr defaultColWidth="0" defaultRowHeight="15" zeroHeight="1" x14ac:dyDescent="0.25"/>
  <cols>
    <col min="1" max="3" width="9.140625" customWidth="1"/>
    <col min="4" max="4" width="8.140625" customWidth="1"/>
    <col min="5" max="5" width="11" customWidth="1"/>
    <col min="6" max="6" width="10.7109375" customWidth="1"/>
    <col min="7" max="13" width="9.140625" customWidth="1"/>
    <col min="14" max="14" width="10.28515625" bestFit="1" customWidth="1"/>
    <col min="15" max="15" width="13.42578125" bestFit="1" customWidth="1"/>
    <col min="16" max="16" width="9.140625" customWidth="1"/>
    <col min="17" max="17" width="6.5703125" customWidth="1"/>
    <col min="18" max="18" width="12.42578125" bestFit="1" customWidth="1"/>
    <col min="19" max="22" width="9.140625" customWidth="1"/>
    <col min="23" max="23" width="0" hidden="1" customWidth="1"/>
    <col min="24" max="16384" width="9.140625" hidden="1"/>
  </cols>
  <sheetData>
    <row r="1" spans="1:22" x14ac:dyDescent="0.25">
      <c r="A1" s="43"/>
      <c r="B1" s="43"/>
      <c r="C1" s="43"/>
      <c r="D1" s="4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3"/>
      <c r="S1" s="43"/>
      <c r="T1" s="43"/>
      <c r="U1" s="43"/>
      <c r="V1" s="43"/>
    </row>
    <row r="2" spans="1:22" x14ac:dyDescent="0.25">
      <c r="A2" s="43"/>
      <c r="B2" s="43"/>
      <c r="C2" s="43"/>
      <c r="D2" s="43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43"/>
      <c r="S2" s="43"/>
      <c r="T2" s="43"/>
      <c r="U2" s="43"/>
      <c r="V2" s="43"/>
    </row>
    <row r="3" spans="1:22" x14ac:dyDescent="0.25">
      <c r="A3" s="43"/>
      <c r="B3" s="43"/>
      <c r="C3" s="43"/>
      <c r="D3" s="43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43"/>
      <c r="S3" s="43"/>
      <c r="T3" s="43"/>
      <c r="U3" s="43"/>
      <c r="V3" s="43"/>
    </row>
    <row r="4" spans="1:22" x14ac:dyDescent="0.25">
      <c r="A4" s="43"/>
      <c r="B4" s="43"/>
      <c r="C4" s="43"/>
      <c r="D4" s="43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43"/>
      <c r="S4" s="43"/>
      <c r="T4" s="43"/>
      <c r="U4" s="43"/>
      <c r="V4" s="43"/>
    </row>
    <row r="5" spans="1:22" ht="23.25" x14ac:dyDescent="0.35">
      <c r="A5" s="43"/>
      <c r="B5" s="43"/>
      <c r="C5" s="43"/>
      <c r="D5" s="43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3" t="s">
        <v>68</v>
      </c>
      <c r="Q5" s="2"/>
      <c r="R5" s="43"/>
      <c r="S5" s="43"/>
      <c r="T5" s="43"/>
      <c r="U5" s="43"/>
      <c r="V5" s="43"/>
    </row>
    <row r="6" spans="1:22" x14ac:dyDescent="0.25">
      <c r="A6" s="43"/>
      <c r="B6" s="43"/>
      <c r="C6" s="43"/>
      <c r="D6" s="43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43"/>
      <c r="S6" s="43"/>
      <c r="T6" s="43"/>
      <c r="U6" s="43"/>
      <c r="V6" s="43"/>
    </row>
    <row r="7" spans="1:2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20.25" thickBot="1" x14ac:dyDescent="0.3">
      <c r="A8" s="1"/>
      <c r="B8" s="1"/>
      <c r="C8" s="1"/>
      <c r="D8" s="1"/>
      <c r="E8" s="65" t="s">
        <v>59</v>
      </c>
      <c r="F8" s="65"/>
      <c r="G8" s="36"/>
      <c r="H8" s="65" t="s">
        <v>58</v>
      </c>
      <c r="I8" s="65"/>
      <c r="J8" s="65"/>
      <c r="K8" s="36"/>
      <c r="L8" s="65" t="s">
        <v>50</v>
      </c>
      <c r="M8" s="65"/>
      <c r="N8" s="36"/>
      <c r="O8" s="36" t="s">
        <v>4</v>
      </c>
      <c r="P8" s="1"/>
      <c r="Q8" s="1"/>
      <c r="R8" s="1"/>
      <c r="S8" s="1"/>
      <c r="T8" s="1"/>
      <c r="U8" s="1"/>
      <c r="V8" s="1"/>
    </row>
    <row r="9" spans="1:22" ht="24.75" thickTop="1" thickBot="1" x14ac:dyDescent="0.3">
      <c r="A9" s="1"/>
      <c r="B9" s="1"/>
      <c r="C9" s="1"/>
      <c r="D9" s="1"/>
      <c r="E9" s="75" t="s">
        <v>27</v>
      </c>
      <c r="F9" s="44"/>
      <c r="G9" s="44"/>
      <c r="H9" s="90">
        <v>44512</v>
      </c>
      <c r="I9" s="87"/>
      <c r="J9" s="87"/>
      <c r="K9" s="44"/>
      <c r="L9" s="77">
        <v>250</v>
      </c>
      <c r="M9" s="77"/>
      <c r="N9" s="76">
        <f>SUM(L9:M14)</f>
        <v>250</v>
      </c>
      <c r="O9" s="76"/>
      <c r="P9" s="1"/>
      <c r="Q9" s="1"/>
      <c r="R9" s="37" t="s">
        <v>4</v>
      </c>
      <c r="S9" s="1"/>
      <c r="T9" s="1"/>
      <c r="U9" s="1"/>
      <c r="V9" s="1"/>
    </row>
    <row r="10" spans="1:22" ht="18.75" customHeight="1" thickBot="1" x14ac:dyDescent="0.3">
      <c r="A10" s="1"/>
      <c r="B10" s="1"/>
      <c r="C10" s="1"/>
      <c r="D10" s="1"/>
      <c r="E10" s="75"/>
      <c r="F10" s="44"/>
      <c r="G10" s="44"/>
      <c r="H10" s="87"/>
      <c r="I10" s="87"/>
      <c r="J10" s="87"/>
      <c r="K10" s="44"/>
      <c r="L10" s="77"/>
      <c r="M10" s="77"/>
      <c r="N10" s="74"/>
      <c r="O10" s="74"/>
      <c r="P10" s="1"/>
      <c r="Q10" s="1"/>
      <c r="R10" s="10"/>
      <c r="S10" s="1"/>
      <c r="T10" s="1"/>
      <c r="U10" s="1"/>
      <c r="V10" s="1"/>
    </row>
    <row r="11" spans="1:22" ht="17.25" customHeight="1" thickBot="1" x14ac:dyDescent="0.3">
      <c r="A11" s="1"/>
      <c r="B11" s="1"/>
      <c r="C11" s="1"/>
      <c r="D11" s="1"/>
      <c r="E11" s="75"/>
      <c r="F11" s="44"/>
      <c r="G11" s="44"/>
      <c r="H11" s="87"/>
      <c r="I11" s="87"/>
      <c r="J11" s="87"/>
      <c r="K11" s="44"/>
      <c r="L11" s="77"/>
      <c r="M11" s="77"/>
      <c r="N11" s="74"/>
      <c r="O11" s="74"/>
      <c r="P11" s="1"/>
      <c r="Q11" s="1"/>
      <c r="R11" s="32">
        <f>SUM(N9:O56)</f>
        <v>250</v>
      </c>
      <c r="S11" s="1"/>
      <c r="T11" s="1"/>
      <c r="U11" s="1"/>
      <c r="V11" s="1"/>
    </row>
    <row r="12" spans="1:22" ht="19.5" thickBot="1" x14ac:dyDescent="0.3">
      <c r="A12" s="1"/>
      <c r="B12" s="1"/>
      <c r="C12" s="1"/>
      <c r="D12" s="1"/>
      <c r="E12" s="75"/>
      <c r="F12" s="44"/>
      <c r="G12" s="44"/>
      <c r="H12" s="87"/>
      <c r="I12" s="87"/>
      <c r="J12" s="87"/>
      <c r="K12" s="44"/>
      <c r="L12" s="77"/>
      <c r="M12" s="77"/>
      <c r="N12" s="74"/>
      <c r="O12" s="74"/>
      <c r="P12" s="1"/>
      <c r="Q12" s="1"/>
      <c r="R12" s="1"/>
      <c r="S12" s="1"/>
      <c r="T12" s="1"/>
      <c r="U12" s="1"/>
      <c r="V12" s="1"/>
    </row>
    <row r="13" spans="1:22" ht="15.75" customHeight="1" thickBot="1" x14ac:dyDescent="0.3">
      <c r="A13" s="1"/>
      <c r="B13" s="1"/>
      <c r="C13" s="1"/>
      <c r="D13" s="1"/>
      <c r="E13" s="75"/>
      <c r="F13" s="44"/>
      <c r="G13" s="44"/>
      <c r="H13" s="87"/>
      <c r="I13" s="87"/>
      <c r="J13" s="87"/>
      <c r="K13" s="44"/>
      <c r="L13" s="77"/>
      <c r="M13" s="77"/>
      <c r="N13" s="74"/>
      <c r="O13" s="74"/>
      <c r="P13" s="1"/>
      <c r="Q13" s="1"/>
      <c r="R13" s="1"/>
      <c r="S13" s="1"/>
      <c r="T13" s="1"/>
      <c r="U13" s="1"/>
      <c r="V13" s="1"/>
    </row>
    <row r="14" spans="1:22" ht="16.5" customHeight="1" thickBot="1" x14ac:dyDescent="0.3">
      <c r="A14" s="1"/>
      <c r="B14" s="1"/>
      <c r="C14" s="1"/>
      <c r="D14" s="1"/>
      <c r="E14" s="75"/>
      <c r="F14" s="44"/>
      <c r="G14" s="44"/>
      <c r="H14" s="87"/>
      <c r="I14" s="87"/>
      <c r="J14" s="87"/>
      <c r="K14" s="44"/>
      <c r="L14" s="77"/>
      <c r="M14" s="77"/>
      <c r="N14" s="75"/>
      <c r="O14" s="75"/>
      <c r="P14" s="1"/>
      <c r="Q14" s="1"/>
      <c r="R14" s="1"/>
      <c r="S14" s="1"/>
      <c r="T14" s="1"/>
      <c r="U14" s="1"/>
      <c r="V14" s="1"/>
    </row>
    <row r="15" spans="1:22" ht="16.5" thickBot="1" x14ac:dyDescent="0.3">
      <c r="A15" s="1"/>
      <c r="B15" s="1"/>
      <c r="C15" s="1"/>
      <c r="D15" s="1"/>
      <c r="E15" s="75" t="s">
        <v>60</v>
      </c>
      <c r="F15" s="46"/>
      <c r="G15" s="46"/>
      <c r="H15" s="88"/>
      <c r="I15" s="88"/>
      <c r="J15" s="88"/>
      <c r="K15" s="46"/>
      <c r="L15" s="77">
        <v>0</v>
      </c>
      <c r="M15" s="77"/>
      <c r="N15" s="73">
        <f>SUM(L15:M20)</f>
        <v>0</v>
      </c>
      <c r="O15" s="73"/>
      <c r="P15" s="1"/>
      <c r="Q15" s="1"/>
      <c r="R15" s="1"/>
      <c r="S15" s="1"/>
      <c r="T15" s="1"/>
      <c r="U15" s="1"/>
      <c r="V15" s="1"/>
    </row>
    <row r="16" spans="1:22" ht="16.5" thickBot="1" x14ac:dyDescent="0.3">
      <c r="A16" s="1"/>
      <c r="B16" s="1"/>
      <c r="C16" s="1"/>
      <c r="D16" s="1"/>
      <c r="E16" s="75"/>
      <c r="F16" s="46"/>
      <c r="G16" s="46"/>
      <c r="H16" s="88"/>
      <c r="I16" s="88"/>
      <c r="J16" s="88"/>
      <c r="K16" s="46"/>
      <c r="L16" s="77">
        <v>0</v>
      </c>
      <c r="M16" s="77"/>
      <c r="N16" s="74"/>
      <c r="O16" s="74"/>
      <c r="P16" s="1"/>
      <c r="Q16" s="1"/>
      <c r="R16" s="1"/>
      <c r="S16" s="1"/>
      <c r="T16" s="1"/>
      <c r="U16" s="1"/>
      <c r="V16" s="1"/>
    </row>
    <row r="17" spans="1:22" ht="16.5" thickBot="1" x14ac:dyDescent="0.3">
      <c r="A17" s="1"/>
      <c r="B17" s="1"/>
      <c r="C17" s="1"/>
      <c r="D17" s="1"/>
      <c r="E17" s="75"/>
      <c r="F17" s="46"/>
      <c r="G17" s="46"/>
      <c r="H17" s="88"/>
      <c r="I17" s="88"/>
      <c r="J17" s="88"/>
      <c r="K17" s="46"/>
      <c r="L17" s="77">
        <v>0</v>
      </c>
      <c r="M17" s="77"/>
      <c r="N17" s="74"/>
      <c r="O17" s="74"/>
      <c r="P17" s="1"/>
      <c r="Q17" s="1"/>
      <c r="R17" s="1"/>
      <c r="S17" s="1"/>
      <c r="T17" s="1"/>
      <c r="U17" s="1"/>
      <c r="V17" s="1"/>
    </row>
    <row r="18" spans="1:22" ht="16.5" thickBot="1" x14ac:dyDescent="0.3">
      <c r="A18" s="1"/>
      <c r="B18" s="1"/>
      <c r="C18" s="1"/>
      <c r="D18" s="1"/>
      <c r="E18" s="75"/>
      <c r="F18" s="46"/>
      <c r="G18" s="46"/>
      <c r="H18" s="88"/>
      <c r="I18" s="88"/>
      <c r="J18" s="88"/>
      <c r="K18" s="46"/>
      <c r="L18" s="77">
        <v>0</v>
      </c>
      <c r="M18" s="77"/>
      <c r="N18" s="74"/>
      <c r="O18" s="74"/>
      <c r="P18" s="1"/>
      <c r="Q18" s="1"/>
      <c r="R18" s="1"/>
      <c r="S18" s="1"/>
      <c r="T18" s="1"/>
      <c r="U18" s="1"/>
      <c r="V18" s="1"/>
    </row>
    <row r="19" spans="1:22" ht="16.5" thickBot="1" x14ac:dyDescent="0.3">
      <c r="A19" s="1"/>
      <c r="B19" s="1"/>
      <c r="C19" s="1"/>
      <c r="D19" s="1"/>
      <c r="E19" s="75"/>
      <c r="F19" s="46"/>
      <c r="G19" s="46"/>
      <c r="H19" s="88"/>
      <c r="I19" s="88"/>
      <c r="J19" s="88"/>
      <c r="K19" s="46"/>
      <c r="L19" s="77">
        <v>0</v>
      </c>
      <c r="M19" s="77"/>
      <c r="N19" s="74"/>
      <c r="O19" s="74"/>
      <c r="P19" s="1"/>
      <c r="Q19" s="1"/>
      <c r="R19" s="1"/>
      <c r="S19" s="1"/>
      <c r="T19" s="1"/>
      <c r="U19" s="1"/>
      <c r="V19" s="1"/>
    </row>
    <row r="20" spans="1:22" ht="16.5" thickBot="1" x14ac:dyDescent="0.3">
      <c r="A20" s="1"/>
      <c r="B20" s="1"/>
      <c r="C20" s="1"/>
      <c r="D20" s="1"/>
      <c r="E20" s="75"/>
      <c r="F20" s="46"/>
      <c r="G20" s="46"/>
      <c r="H20" s="88"/>
      <c r="I20" s="88"/>
      <c r="J20" s="88"/>
      <c r="K20" s="46"/>
      <c r="L20" s="77">
        <v>0</v>
      </c>
      <c r="M20" s="77"/>
      <c r="N20" s="75"/>
      <c r="O20" s="75"/>
      <c r="P20" s="1"/>
      <c r="Q20" s="1"/>
      <c r="R20" s="1"/>
      <c r="S20" s="1"/>
      <c r="T20" s="1"/>
      <c r="U20" s="1"/>
      <c r="V20" s="1"/>
    </row>
    <row r="21" spans="1:22" ht="16.5" thickBot="1" x14ac:dyDescent="0.3">
      <c r="A21" s="1"/>
      <c r="B21" s="1"/>
      <c r="C21" s="1"/>
      <c r="D21" s="1"/>
      <c r="E21" s="75" t="s">
        <v>28</v>
      </c>
      <c r="F21" s="46"/>
      <c r="G21" s="46"/>
      <c r="H21" s="88"/>
      <c r="I21" s="88"/>
      <c r="J21" s="88"/>
      <c r="K21" s="46"/>
      <c r="L21" s="77">
        <v>0</v>
      </c>
      <c r="M21" s="77"/>
      <c r="N21" s="73">
        <f>SUM(L21:M26)</f>
        <v>0</v>
      </c>
      <c r="O21" s="73"/>
      <c r="P21" s="1"/>
      <c r="Q21" s="1"/>
      <c r="R21" s="1"/>
      <c r="S21" s="1"/>
      <c r="T21" s="1"/>
      <c r="U21" s="1"/>
      <c r="V21" s="1"/>
    </row>
    <row r="22" spans="1:22" ht="16.5" thickBot="1" x14ac:dyDescent="0.3">
      <c r="A22" s="1"/>
      <c r="B22" s="1"/>
      <c r="C22" s="1"/>
      <c r="D22" s="1"/>
      <c r="E22" s="75"/>
      <c r="F22" s="46"/>
      <c r="G22" s="46"/>
      <c r="H22" s="88"/>
      <c r="I22" s="88"/>
      <c r="J22" s="88"/>
      <c r="K22" s="46"/>
      <c r="L22" s="77">
        <v>0</v>
      </c>
      <c r="M22" s="77"/>
      <c r="N22" s="74"/>
      <c r="O22" s="74"/>
      <c r="P22" s="1"/>
      <c r="Q22" s="1"/>
      <c r="R22" s="1"/>
      <c r="S22" s="1"/>
      <c r="T22" s="1"/>
      <c r="U22" s="1"/>
      <c r="V22" s="1"/>
    </row>
    <row r="23" spans="1:22" ht="16.5" thickBot="1" x14ac:dyDescent="0.3">
      <c r="A23" s="1"/>
      <c r="B23" s="1"/>
      <c r="C23" s="1"/>
      <c r="D23" s="1"/>
      <c r="E23" s="75"/>
      <c r="F23" s="46"/>
      <c r="G23" s="46"/>
      <c r="H23" s="88"/>
      <c r="I23" s="88"/>
      <c r="J23" s="88"/>
      <c r="K23" s="46"/>
      <c r="L23" s="77">
        <v>0</v>
      </c>
      <c r="M23" s="77"/>
      <c r="N23" s="74"/>
      <c r="O23" s="74"/>
      <c r="P23" s="1"/>
      <c r="Q23" s="1"/>
      <c r="R23" s="1"/>
      <c r="S23" s="1"/>
      <c r="T23" s="1"/>
      <c r="U23" s="1"/>
      <c r="V23" s="1"/>
    </row>
    <row r="24" spans="1:22" ht="16.5" thickBot="1" x14ac:dyDescent="0.3">
      <c r="A24" s="1"/>
      <c r="B24" s="1"/>
      <c r="C24" s="1"/>
      <c r="D24" s="1"/>
      <c r="E24" s="75"/>
      <c r="F24" s="46"/>
      <c r="G24" s="46"/>
      <c r="H24" s="88"/>
      <c r="I24" s="88"/>
      <c r="J24" s="88"/>
      <c r="K24" s="46"/>
      <c r="L24" s="77">
        <v>0</v>
      </c>
      <c r="M24" s="77"/>
      <c r="N24" s="74"/>
      <c r="O24" s="74"/>
      <c r="P24" s="1"/>
      <c r="Q24" s="1"/>
      <c r="R24" s="1"/>
      <c r="S24" s="1"/>
      <c r="T24" s="1"/>
      <c r="U24" s="1"/>
      <c r="V24" s="1"/>
    </row>
    <row r="25" spans="1:22" ht="16.5" thickBot="1" x14ac:dyDescent="0.3">
      <c r="A25" s="1"/>
      <c r="B25" s="1"/>
      <c r="C25" s="1"/>
      <c r="D25" s="1"/>
      <c r="E25" s="75"/>
      <c r="F25" s="46"/>
      <c r="G25" s="46"/>
      <c r="H25" s="88"/>
      <c r="I25" s="88"/>
      <c r="J25" s="88"/>
      <c r="K25" s="46"/>
      <c r="L25" s="77">
        <v>0</v>
      </c>
      <c r="M25" s="77"/>
      <c r="N25" s="74"/>
      <c r="O25" s="74"/>
      <c r="P25" s="1"/>
      <c r="Q25" s="1"/>
      <c r="R25" s="1"/>
      <c r="S25" s="1"/>
      <c r="T25" s="1"/>
      <c r="U25" s="1"/>
      <c r="V25" s="1"/>
    </row>
    <row r="26" spans="1:22" ht="16.5" thickBot="1" x14ac:dyDescent="0.3">
      <c r="A26" s="1"/>
      <c r="B26" s="1"/>
      <c r="C26" s="1"/>
      <c r="D26" s="1"/>
      <c r="E26" s="75"/>
      <c r="F26" s="46"/>
      <c r="G26" s="46"/>
      <c r="H26" s="88"/>
      <c r="I26" s="88"/>
      <c r="J26" s="88"/>
      <c r="K26" s="46"/>
      <c r="L26" s="77">
        <v>0</v>
      </c>
      <c r="M26" s="77"/>
      <c r="N26" s="75"/>
      <c r="O26" s="75"/>
      <c r="P26" s="1"/>
      <c r="Q26" s="1"/>
      <c r="R26" s="1"/>
      <c r="S26" s="1"/>
      <c r="T26" s="1"/>
      <c r="U26" s="1"/>
      <c r="V26" s="1"/>
    </row>
    <row r="27" spans="1:22" ht="16.5" thickBot="1" x14ac:dyDescent="0.3">
      <c r="A27" s="1"/>
      <c r="B27" s="1"/>
      <c r="C27" s="1"/>
      <c r="D27" s="1"/>
      <c r="E27" s="78" t="s">
        <v>61</v>
      </c>
      <c r="F27" s="46"/>
      <c r="G27" s="46"/>
      <c r="H27" s="88"/>
      <c r="I27" s="88"/>
      <c r="J27" s="88"/>
      <c r="K27" s="46"/>
      <c r="L27" s="77">
        <v>0</v>
      </c>
      <c r="M27" s="77"/>
      <c r="N27" s="73">
        <f>SUM(L27:M32)</f>
        <v>0</v>
      </c>
      <c r="O27" s="73"/>
      <c r="P27" s="1"/>
      <c r="Q27" s="1"/>
      <c r="R27" s="1"/>
      <c r="S27" s="1"/>
      <c r="T27" s="1"/>
      <c r="U27" s="1"/>
      <c r="V27" s="1"/>
    </row>
    <row r="28" spans="1:22" ht="16.5" thickBot="1" x14ac:dyDescent="0.3">
      <c r="A28" s="1"/>
      <c r="B28" s="1"/>
      <c r="C28" s="1"/>
      <c r="D28" s="1"/>
      <c r="E28" s="75"/>
      <c r="F28" s="46"/>
      <c r="G28" s="46"/>
      <c r="H28" s="88"/>
      <c r="I28" s="88"/>
      <c r="J28" s="88"/>
      <c r="K28" s="46"/>
      <c r="L28" s="77">
        <v>0</v>
      </c>
      <c r="M28" s="77"/>
      <c r="N28" s="74"/>
      <c r="O28" s="74"/>
      <c r="P28" s="1"/>
      <c r="Q28" s="1"/>
      <c r="R28" s="1"/>
      <c r="S28" s="1"/>
      <c r="T28" s="1"/>
      <c r="U28" s="1"/>
      <c r="V28" s="1"/>
    </row>
    <row r="29" spans="1:22" ht="16.5" thickBot="1" x14ac:dyDescent="0.3">
      <c r="A29" s="1"/>
      <c r="B29" s="1"/>
      <c r="C29" s="1"/>
      <c r="D29" s="1"/>
      <c r="E29" s="75"/>
      <c r="F29" s="46"/>
      <c r="G29" s="46"/>
      <c r="H29" s="88"/>
      <c r="I29" s="88"/>
      <c r="J29" s="88"/>
      <c r="K29" s="46"/>
      <c r="L29" s="77">
        <v>0</v>
      </c>
      <c r="M29" s="77"/>
      <c r="N29" s="74"/>
      <c r="O29" s="74"/>
      <c r="P29" s="1"/>
      <c r="Q29" s="1"/>
      <c r="R29" s="1"/>
      <c r="S29" s="1"/>
      <c r="T29" s="1"/>
      <c r="U29" s="1"/>
      <c r="V29" s="1"/>
    </row>
    <row r="30" spans="1:22" ht="16.5" thickBot="1" x14ac:dyDescent="0.3">
      <c r="A30" s="1"/>
      <c r="B30" s="1"/>
      <c r="C30" s="1"/>
      <c r="D30" s="1"/>
      <c r="E30" s="75"/>
      <c r="F30" s="46"/>
      <c r="G30" s="46"/>
      <c r="H30" s="88"/>
      <c r="I30" s="88"/>
      <c r="J30" s="88"/>
      <c r="K30" s="46"/>
      <c r="L30" s="77">
        <v>0</v>
      </c>
      <c r="M30" s="77"/>
      <c r="N30" s="74"/>
      <c r="O30" s="74"/>
      <c r="P30" s="1"/>
      <c r="Q30" s="1"/>
      <c r="R30" s="1"/>
      <c r="S30" s="1"/>
      <c r="T30" s="1"/>
      <c r="U30" s="1"/>
      <c r="V30" s="1"/>
    </row>
    <row r="31" spans="1:22" ht="16.5" thickBot="1" x14ac:dyDescent="0.3">
      <c r="A31" s="1"/>
      <c r="B31" s="1"/>
      <c r="C31" s="1"/>
      <c r="D31" s="1"/>
      <c r="E31" s="75"/>
      <c r="F31" s="46"/>
      <c r="G31" s="46"/>
      <c r="H31" s="88"/>
      <c r="I31" s="88"/>
      <c r="J31" s="88"/>
      <c r="K31" s="46"/>
      <c r="L31" s="77">
        <v>0</v>
      </c>
      <c r="M31" s="77"/>
      <c r="N31" s="74"/>
      <c r="O31" s="74"/>
      <c r="P31" s="1"/>
      <c r="Q31" s="1"/>
      <c r="R31" s="1"/>
      <c r="S31" s="1"/>
      <c r="T31" s="1"/>
      <c r="U31" s="1"/>
      <c r="V31" s="1"/>
    </row>
    <row r="32" spans="1:22" ht="16.5" thickBot="1" x14ac:dyDescent="0.3">
      <c r="A32" s="1"/>
      <c r="B32" s="1"/>
      <c r="C32" s="1"/>
      <c r="D32" s="1"/>
      <c r="E32" s="75"/>
      <c r="F32" s="46"/>
      <c r="G32" s="46"/>
      <c r="H32" s="88"/>
      <c r="I32" s="88"/>
      <c r="J32" s="88"/>
      <c r="K32" s="46"/>
      <c r="L32" s="77">
        <v>0</v>
      </c>
      <c r="M32" s="77"/>
      <c r="N32" s="75"/>
      <c r="O32" s="75"/>
      <c r="P32" s="1"/>
      <c r="Q32" s="1"/>
      <c r="R32" s="1"/>
      <c r="S32" s="1"/>
      <c r="T32" s="1"/>
      <c r="U32" s="1"/>
      <c r="V32" s="1"/>
    </row>
    <row r="33" spans="1:22" ht="16.5" customHeight="1" thickBot="1" x14ac:dyDescent="0.3">
      <c r="A33" s="1"/>
      <c r="B33" s="1"/>
      <c r="C33" s="1"/>
      <c r="D33" s="1"/>
      <c r="E33" s="75" t="s">
        <v>62</v>
      </c>
      <c r="F33" s="47"/>
      <c r="G33" s="47"/>
      <c r="H33" s="88"/>
      <c r="I33" s="88"/>
      <c r="J33" s="88"/>
      <c r="K33" s="48"/>
      <c r="L33" s="77">
        <v>0</v>
      </c>
      <c r="M33" s="77"/>
      <c r="N33" s="73">
        <f>SUM(L33:M38)</f>
        <v>0</v>
      </c>
      <c r="O33" s="73"/>
      <c r="P33" s="1"/>
      <c r="Q33" s="1"/>
      <c r="R33" s="1"/>
      <c r="S33" s="1"/>
      <c r="T33" s="1"/>
      <c r="U33" s="1"/>
      <c r="V33" s="1"/>
    </row>
    <row r="34" spans="1:22" ht="15" customHeight="1" thickBot="1" x14ac:dyDescent="0.3">
      <c r="A34" s="1"/>
      <c r="B34" s="1"/>
      <c r="C34" s="1"/>
      <c r="D34" s="1"/>
      <c r="E34" s="75"/>
      <c r="F34" s="47"/>
      <c r="G34" s="47"/>
      <c r="H34" s="88"/>
      <c r="I34" s="88"/>
      <c r="J34" s="88"/>
      <c r="K34" s="47"/>
      <c r="L34" s="77">
        <v>0</v>
      </c>
      <c r="M34" s="77"/>
      <c r="N34" s="74"/>
      <c r="O34" s="74"/>
      <c r="P34" s="1"/>
      <c r="Q34" s="1"/>
      <c r="R34" s="1"/>
      <c r="S34" s="1"/>
      <c r="T34" s="1"/>
      <c r="U34" s="1"/>
      <c r="V34" s="1"/>
    </row>
    <row r="35" spans="1:22" ht="15" customHeight="1" thickBot="1" x14ac:dyDescent="0.3">
      <c r="A35" s="1"/>
      <c r="B35" s="1"/>
      <c r="C35" s="1"/>
      <c r="D35" s="1"/>
      <c r="E35" s="75"/>
      <c r="F35" s="47"/>
      <c r="G35" s="47"/>
      <c r="H35" s="88"/>
      <c r="I35" s="88"/>
      <c r="J35" s="88"/>
      <c r="K35" s="47"/>
      <c r="L35" s="77">
        <v>0</v>
      </c>
      <c r="M35" s="77"/>
      <c r="N35" s="74"/>
      <c r="O35" s="74"/>
      <c r="P35" s="1"/>
      <c r="Q35" s="1"/>
      <c r="R35" s="1"/>
      <c r="S35" s="1"/>
      <c r="T35" s="1"/>
      <c r="U35" s="1"/>
      <c r="V35" s="1"/>
    </row>
    <row r="36" spans="1:22" ht="15" customHeight="1" thickBot="1" x14ac:dyDescent="0.3">
      <c r="A36" s="1"/>
      <c r="B36" s="1"/>
      <c r="C36" s="1"/>
      <c r="D36" s="1"/>
      <c r="E36" s="75"/>
      <c r="F36" s="47"/>
      <c r="G36" s="47"/>
      <c r="H36" s="88"/>
      <c r="I36" s="88"/>
      <c r="J36" s="88"/>
      <c r="K36" s="47"/>
      <c r="L36" s="77">
        <v>0</v>
      </c>
      <c r="M36" s="77"/>
      <c r="N36" s="74"/>
      <c r="O36" s="74"/>
      <c r="P36" s="1"/>
      <c r="Q36" s="1"/>
      <c r="R36" s="1"/>
      <c r="S36" s="1"/>
      <c r="T36" s="1"/>
      <c r="U36" s="1"/>
      <c r="V36" s="1"/>
    </row>
    <row r="37" spans="1:22" ht="15" customHeight="1" thickBot="1" x14ac:dyDescent="0.3">
      <c r="A37" s="1"/>
      <c r="B37" s="1"/>
      <c r="C37" s="1"/>
      <c r="D37" s="1"/>
      <c r="E37" s="75"/>
      <c r="F37" s="47"/>
      <c r="G37" s="47"/>
      <c r="H37" s="88"/>
      <c r="I37" s="88"/>
      <c r="J37" s="88"/>
      <c r="K37" s="47"/>
      <c r="L37" s="77">
        <v>0</v>
      </c>
      <c r="M37" s="77"/>
      <c r="N37" s="74"/>
      <c r="O37" s="74"/>
      <c r="P37" s="1"/>
      <c r="Q37" s="1"/>
      <c r="R37" s="1"/>
      <c r="S37" s="1"/>
      <c r="T37" s="1"/>
      <c r="U37" s="1"/>
      <c r="V37" s="1"/>
    </row>
    <row r="38" spans="1:22" ht="15" customHeight="1" thickBot="1" x14ac:dyDescent="0.3">
      <c r="A38" s="1"/>
      <c r="B38" s="1"/>
      <c r="C38" s="1"/>
      <c r="D38" s="1"/>
      <c r="E38" s="75"/>
      <c r="F38" s="47"/>
      <c r="G38" s="47"/>
      <c r="H38" s="88"/>
      <c r="I38" s="88"/>
      <c r="J38" s="88"/>
      <c r="K38" s="47"/>
      <c r="L38" s="77">
        <v>0</v>
      </c>
      <c r="M38" s="77"/>
      <c r="N38" s="75"/>
      <c r="O38" s="75"/>
      <c r="P38" s="1"/>
      <c r="Q38" s="1"/>
      <c r="R38" s="1"/>
      <c r="S38" s="1"/>
      <c r="T38" s="1"/>
      <c r="U38" s="1"/>
      <c r="V38" s="1"/>
    </row>
    <row r="39" spans="1:22" s="1" customFormat="1" ht="16.5" customHeight="1" thickBot="1" x14ac:dyDescent="0.3">
      <c r="E39" s="75" t="s">
        <v>63</v>
      </c>
      <c r="F39" s="47"/>
      <c r="G39" s="47"/>
      <c r="H39" s="88"/>
      <c r="I39" s="88"/>
      <c r="J39" s="88"/>
      <c r="K39" s="47"/>
      <c r="L39" s="77">
        <v>0</v>
      </c>
      <c r="M39" s="77"/>
      <c r="N39" s="73">
        <f>SUM(L39:M44)</f>
        <v>0</v>
      </c>
      <c r="O39" s="73"/>
    </row>
    <row r="40" spans="1:22" s="1" customFormat="1" ht="16.5" thickBot="1" x14ac:dyDescent="0.3">
      <c r="E40" s="75"/>
      <c r="F40" s="47"/>
      <c r="G40" s="47"/>
      <c r="H40" s="88"/>
      <c r="I40" s="88"/>
      <c r="J40" s="88"/>
      <c r="K40" s="47"/>
      <c r="L40" s="77">
        <v>0</v>
      </c>
      <c r="M40" s="77"/>
      <c r="N40" s="74"/>
      <c r="O40" s="74"/>
    </row>
    <row r="41" spans="1:22" s="1" customFormat="1" ht="16.5" thickBot="1" x14ac:dyDescent="0.3">
      <c r="E41" s="75"/>
      <c r="F41" s="47"/>
      <c r="G41" s="47"/>
      <c r="H41" s="88"/>
      <c r="I41" s="88"/>
      <c r="J41" s="88"/>
      <c r="K41" s="47"/>
      <c r="L41" s="77">
        <v>0</v>
      </c>
      <c r="M41" s="77"/>
      <c r="N41" s="74"/>
      <c r="O41" s="74"/>
    </row>
    <row r="42" spans="1:22" s="1" customFormat="1" ht="16.5" thickBot="1" x14ac:dyDescent="0.3">
      <c r="E42" s="75"/>
      <c r="F42" s="47"/>
      <c r="G42" s="47"/>
      <c r="H42" s="88"/>
      <c r="I42" s="88"/>
      <c r="J42" s="88"/>
      <c r="K42" s="47"/>
      <c r="L42" s="77">
        <v>0</v>
      </c>
      <c r="M42" s="77"/>
      <c r="N42" s="74"/>
      <c r="O42" s="74"/>
    </row>
    <row r="43" spans="1:22" s="1" customFormat="1" ht="16.5" thickBot="1" x14ac:dyDescent="0.3">
      <c r="E43" s="75"/>
      <c r="F43" s="47"/>
      <c r="G43" s="47"/>
      <c r="H43" s="88"/>
      <c r="I43" s="88"/>
      <c r="J43" s="88"/>
      <c r="K43" s="47"/>
      <c r="L43" s="77">
        <v>0</v>
      </c>
      <c r="M43" s="77"/>
      <c r="N43" s="74"/>
      <c r="O43" s="74"/>
    </row>
    <row r="44" spans="1:22" s="1" customFormat="1" ht="16.5" thickBot="1" x14ac:dyDescent="0.3">
      <c r="E44" s="75"/>
      <c r="F44" s="47"/>
      <c r="G44" s="47"/>
      <c r="H44" s="88"/>
      <c r="I44" s="88"/>
      <c r="J44" s="88"/>
      <c r="K44" s="47"/>
      <c r="L44" s="77">
        <v>0</v>
      </c>
      <c r="M44" s="77"/>
      <c r="N44" s="75"/>
      <c r="O44" s="75"/>
    </row>
    <row r="45" spans="1:22" s="1" customFormat="1" ht="16.5" customHeight="1" thickBot="1" x14ac:dyDescent="0.3">
      <c r="E45" s="75" t="s">
        <v>64</v>
      </c>
      <c r="F45" s="47"/>
      <c r="G45" s="47"/>
      <c r="H45" s="88"/>
      <c r="I45" s="88"/>
      <c r="J45" s="88"/>
      <c r="K45" s="47"/>
      <c r="L45" s="77">
        <v>0</v>
      </c>
      <c r="M45" s="77"/>
      <c r="N45" s="73">
        <f>SUM(L45:M50)</f>
        <v>0</v>
      </c>
      <c r="O45" s="73"/>
    </row>
    <row r="46" spans="1:22" s="1" customFormat="1" ht="16.5" thickBot="1" x14ac:dyDescent="0.3">
      <c r="E46" s="75"/>
      <c r="F46" s="47"/>
      <c r="G46" s="47"/>
      <c r="H46" s="88"/>
      <c r="I46" s="88"/>
      <c r="J46" s="88"/>
      <c r="K46" s="47"/>
      <c r="L46" s="77">
        <v>0</v>
      </c>
      <c r="M46" s="77"/>
      <c r="N46" s="74"/>
      <c r="O46" s="74"/>
    </row>
    <row r="47" spans="1:22" s="1" customFormat="1" ht="16.5" thickBot="1" x14ac:dyDescent="0.3">
      <c r="E47" s="75"/>
      <c r="F47" s="47"/>
      <c r="G47" s="47"/>
      <c r="H47" s="88"/>
      <c r="I47" s="88"/>
      <c r="J47" s="88"/>
      <c r="K47" s="47"/>
      <c r="L47" s="77">
        <v>0</v>
      </c>
      <c r="M47" s="77"/>
      <c r="N47" s="74"/>
      <c r="O47" s="74"/>
    </row>
    <row r="48" spans="1:22" s="1" customFormat="1" ht="16.5" thickBot="1" x14ac:dyDescent="0.3">
      <c r="E48" s="75"/>
      <c r="F48" s="47"/>
      <c r="G48" s="47"/>
      <c r="H48" s="88"/>
      <c r="I48" s="88"/>
      <c r="J48" s="88"/>
      <c r="K48" s="47"/>
      <c r="L48" s="77">
        <v>0</v>
      </c>
      <c r="M48" s="77"/>
      <c r="N48" s="74"/>
      <c r="O48" s="74"/>
    </row>
    <row r="49" spans="5:15" s="1" customFormat="1" ht="16.5" thickBot="1" x14ac:dyDescent="0.3">
      <c r="E49" s="75"/>
      <c r="F49" s="47"/>
      <c r="G49" s="47"/>
      <c r="H49" s="88"/>
      <c r="I49" s="88"/>
      <c r="J49" s="88"/>
      <c r="K49" s="47"/>
      <c r="L49" s="77">
        <v>0</v>
      </c>
      <c r="M49" s="77"/>
      <c r="N49" s="74"/>
      <c r="O49" s="74"/>
    </row>
    <row r="50" spans="5:15" s="1" customFormat="1" ht="16.5" thickBot="1" x14ac:dyDescent="0.3">
      <c r="E50" s="75"/>
      <c r="F50" s="47"/>
      <c r="G50" s="47"/>
      <c r="H50" s="88"/>
      <c r="I50" s="88"/>
      <c r="J50" s="88"/>
      <c r="K50" s="47"/>
      <c r="L50" s="77">
        <v>0</v>
      </c>
      <c r="M50" s="77"/>
      <c r="N50" s="75"/>
      <c r="O50" s="75"/>
    </row>
    <row r="51" spans="5:15" s="1" customFormat="1" ht="16.5" customHeight="1" thickBot="1" x14ac:dyDescent="0.3">
      <c r="E51" s="75" t="s">
        <v>49</v>
      </c>
      <c r="F51" s="47"/>
      <c r="G51" s="47"/>
      <c r="H51" s="88"/>
      <c r="I51" s="88"/>
      <c r="J51" s="88"/>
      <c r="K51" s="47"/>
      <c r="L51" s="77">
        <v>0</v>
      </c>
      <c r="M51" s="77"/>
      <c r="N51" s="73">
        <f>SUM(L51:M56)</f>
        <v>0</v>
      </c>
      <c r="O51" s="73"/>
    </row>
    <row r="52" spans="5:15" s="1" customFormat="1" ht="16.5" thickBot="1" x14ac:dyDescent="0.3">
      <c r="E52" s="75"/>
      <c r="F52" s="47"/>
      <c r="G52" s="47"/>
      <c r="H52" s="88"/>
      <c r="I52" s="88"/>
      <c r="J52" s="88"/>
      <c r="K52" s="47"/>
      <c r="L52" s="77">
        <v>0</v>
      </c>
      <c r="M52" s="77"/>
      <c r="N52" s="74"/>
      <c r="O52" s="74"/>
    </row>
    <row r="53" spans="5:15" s="1" customFormat="1" ht="16.5" thickBot="1" x14ac:dyDescent="0.3">
      <c r="E53" s="75"/>
      <c r="F53" s="47"/>
      <c r="G53" s="47"/>
      <c r="H53" s="88"/>
      <c r="I53" s="88"/>
      <c r="J53" s="88"/>
      <c r="K53" s="47"/>
      <c r="L53" s="77">
        <v>0</v>
      </c>
      <c r="M53" s="77"/>
      <c r="N53" s="74"/>
      <c r="O53" s="74"/>
    </row>
    <row r="54" spans="5:15" s="1" customFormat="1" ht="16.5" thickBot="1" x14ac:dyDescent="0.3">
      <c r="E54" s="75"/>
      <c r="F54" s="47"/>
      <c r="G54" s="47"/>
      <c r="H54" s="88"/>
      <c r="I54" s="88"/>
      <c r="J54" s="88"/>
      <c r="K54" s="47"/>
      <c r="L54" s="77">
        <v>0</v>
      </c>
      <c r="M54" s="77"/>
      <c r="N54" s="74"/>
      <c r="O54" s="74"/>
    </row>
    <row r="55" spans="5:15" s="1" customFormat="1" ht="16.5" thickBot="1" x14ac:dyDescent="0.3">
      <c r="E55" s="75"/>
      <c r="F55" s="47"/>
      <c r="G55" s="47"/>
      <c r="H55" s="88"/>
      <c r="I55" s="88"/>
      <c r="J55" s="88"/>
      <c r="K55" s="47"/>
      <c r="L55" s="77">
        <v>0</v>
      </c>
      <c r="M55" s="77"/>
      <c r="N55" s="74"/>
      <c r="O55" s="74"/>
    </row>
    <row r="56" spans="5:15" s="1" customFormat="1" ht="16.5" thickBot="1" x14ac:dyDescent="0.3">
      <c r="E56" s="75"/>
      <c r="F56" s="47"/>
      <c r="G56" s="47"/>
      <c r="H56" s="88"/>
      <c r="I56" s="88"/>
      <c r="J56" s="88"/>
      <c r="K56" s="47"/>
      <c r="L56" s="77">
        <v>0</v>
      </c>
      <c r="M56" s="77"/>
      <c r="N56" s="75"/>
      <c r="O56" s="75"/>
    </row>
    <row r="57" spans="5:15" s="1" customFormat="1" ht="15.75" thickBot="1" x14ac:dyDescent="0.3">
      <c r="E57" s="45"/>
      <c r="F57" s="45"/>
      <c r="G57" s="45"/>
      <c r="H57" s="89"/>
      <c r="I57" s="89"/>
      <c r="J57" s="89"/>
      <c r="K57" s="45"/>
      <c r="L57" s="70"/>
      <c r="M57" s="70"/>
      <c r="N57" s="45"/>
      <c r="O57" s="45"/>
    </row>
    <row r="58" spans="5:15" x14ac:dyDescent="0.25"/>
  </sheetData>
  <mergeCells count="117">
    <mergeCell ref="N39:O44"/>
    <mergeCell ref="N45:O50"/>
    <mergeCell ref="N51:O56"/>
    <mergeCell ref="N9:O14"/>
    <mergeCell ref="N15:O20"/>
    <mergeCell ref="N21:O26"/>
    <mergeCell ref="N27:O32"/>
    <mergeCell ref="N33:O38"/>
    <mergeCell ref="L55:M55"/>
    <mergeCell ref="L56:M56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10:M10"/>
    <mergeCell ref="L11:M11"/>
    <mergeCell ref="L12:M12"/>
    <mergeCell ref="L13:M13"/>
    <mergeCell ref="L14:M14"/>
    <mergeCell ref="H56:J56"/>
    <mergeCell ref="H57:J57"/>
    <mergeCell ref="L57:M57"/>
    <mergeCell ref="E33:E38"/>
    <mergeCell ref="E39:E44"/>
    <mergeCell ref="E45:E50"/>
    <mergeCell ref="E51:E56"/>
    <mergeCell ref="L49:M49"/>
    <mergeCell ref="L50:M50"/>
    <mergeCell ref="L51:M51"/>
    <mergeCell ref="L52:M52"/>
    <mergeCell ref="L53:M53"/>
    <mergeCell ref="L54:M54"/>
    <mergeCell ref="L43:M43"/>
    <mergeCell ref="L44:M44"/>
    <mergeCell ref="L45:M45"/>
    <mergeCell ref="L46:M46"/>
    <mergeCell ref="L47:M47"/>
    <mergeCell ref="L48:M48"/>
    <mergeCell ref="H51:J51"/>
    <mergeCell ref="H52:J52"/>
    <mergeCell ref="H53:J53"/>
    <mergeCell ref="H54:J54"/>
    <mergeCell ref="H55:J55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1:J31"/>
    <mergeCell ref="H32:J32"/>
    <mergeCell ref="H33:J33"/>
    <mergeCell ref="H34:J34"/>
    <mergeCell ref="H35:J35"/>
    <mergeCell ref="H36:J36"/>
    <mergeCell ref="H37:J37"/>
    <mergeCell ref="H38:J38"/>
    <mergeCell ref="L30:M30"/>
    <mergeCell ref="L31:M31"/>
    <mergeCell ref="L32:M32"/>
    <mergeCell ref="L33:M33"/>
    <mergeCell ref="L29:M29"/>
    <mergeCell ref="H13:J13"/>
    <mergeCell ref="H14:J14"/>
    <mergeCell ref="E15:E20"/>
    <mergeCell ref="E21:E26"/>
    <mergeCell ref="E27:E32"/>
    <mergeCell ref="H20:J20"/>
    <mergeCell ref="H25:J25"/>
    <mergeCell ref="H26:J26"/>
    <mergeCell ref="H27:J27"/>
    <mergeCell ref="H28:J28"/>
    <mergeCell ref="H29:J29"/>
    <mergeCell ref="H30:J30"/>
    <mergeCell ref="L23:M23"/>
    <mergeCell ref="H21:J21"/>
    <mergeCell ref="H22:J22"/>
    <mergeCell ref="H23:J23"/>
    <mergeCell ref="L17:M17"/>
    <mergeCell ref="L18:M18"/>
    <mergeCell ref="L19:M19"/>
    <mergeCell ref="L21:M21"/>
    <mergeCell ref="L22:M22"/>
    <mergeCell ref="L20:M20"/>
    <mergeCell ref="H19:J19"/>
    <mergeCell ref="L8:M8"/>
    <mergeCell ref="L9:M9"/>
    <mergeCell ref="L24:M24"/>
    <mergeCell ref="L25:M25"/>
    <mergeCell ref="L26:M26"/>
    <mergeCell ref="L27:M27"/>
    <mergeCell ref="L28:M28"/>
    <mergeCell ref="L15:M15"/>
    <mergeCell ref="L16:M16"/>
    <mergeCell ref="H15:J15"/>
    <mergeCell ref="H16:J16"/>
    <mergeCell ref="H17:J17"/>
    <mergeCell ref="H18:J18"/>
    <mergeCell ref="E8:F8"/>
    <mergeCell ref="H8:J8"/>
    <mergeCell ref="H9:J9"/>
    <mergeCell ref="H24:J24"/>
    <mergeCell ref="E9:E14"/>
    <mergeCell ref="H10:J10"/>
    <mergeCell ref="H11:J11"/>
    <mergeCell ref="H12:J12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AC862-81BA-4D7F-BE51-23BD413C60EE}">
  <sheetPr codeName="Planilha6"/>
  <dimension ref="A1:W111"/>
  <sheetViews>
    <sheetView showGridLines="0" showRowColHeaders="0" workbookViewId="0">
      <selection activeCell="P10" sqref="P10:Q10"/>
    </sheetView>
  </sheetViews>
  <sheetFormatPr defaultColWidth="0" defaultRowHeight="15" zeroHeight="1" x14ac:dyDescent="0.25"/>
  <cols>
    <col min="1" max="6" width="9.140625" customWidth="1"/>
    <col min="7" max="7" width="9.7109375" bestFit="1" customWidth="1"/>
    <col min="8" max="8" width="12" bestFit="1" customWidth="1"/>
    <col min="9" max="11" width="9.28515625" bestFit="1" customWidth="1"/>
    <col min="12" max="12" width="9.7109375" bestFit="1" customWidth="1"/>
    <col min="13" max="13" width="11.42578125" customWidth="1"/>
    <col min="14" max="14" width="10.85546875" customWidth="1"/>
    <col min="15" max="15" width="9.140625" customWidth="1"/>
    <col min="16" max="16" width="11.85546875" customWidth="1"/>
    <col min="17" max="17" width="7.85546875" customWidth="1"/>
    <col min="18" max="22" width="9.140625" customWidth="1"/>
    <col min="23" max="23" width="0" hidden="1" customWidth="1"/>
    <col min="24" max="16384" width="9.140625" hidden="1"/>
  </cols>
  <sheetData>
    <row r="1" spans="1:22" x14ac:dyDescent="0.25">
      <c r="A1" s="43"/>
      <c r="B1" s="43"/>
      <c r="C1" s="43"/>
      <c r="D1" s="4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3"/>
      <c r="S1" s="43"/>
      <c r="T1" s="43"/>
      <c r="U1" s="43"/>
      <c r="V1" s="43"/>
    </row>
    <row r="2" spans="1:22" x14ac:dyDescent="0.25">
      <c r="A2" s="43"/>
      <c r="B2" s="43"/>
      <c r="C2" s="43"/>
      <c r="D2" s="43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43"/>
      <c r="S2" s="43"/>
      <c r="T2" s="43"/>
      <c r="U2" s="43"/>
      <c r="V2" s="43"/>
    </row>
    <row r="3" spans="1:22" x14ac:dyDescent="0.25">
      <c r="A3" s="43"/>
      <c r="B3" s="43"/>
      <c r="C3" s="43"/>
      <c r="D3" s="43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43"/>
      <c r="S3" s="43"/>
      <c r="T3" s="43"/>
      <c r="U3" s="43"/>
      <c r="V3" s="43"/>
    </row>
    <row r="4" spans="1:22" x14ac:dyDescent="0.25">
      <c r="A4" s="43"/>
      <c r="B4" s="43"/>
      <c r="C4" s="43"/>
      <c r="D4" s="43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43"/>
      <c r="S4" s="43"/>
      <c r="T4" s="43"/>
      <c r="U4" s="43"/>
      <c r="V4" s="43"/>
    </row>
    <row r="5" spans="1:22" ht="23.25" customHeight="1" x14ac:dyDescent="0.35">
      <c r="A5" s="43"/>
      <c r="B5" s="43"/>
      <c r="C5" s="43"/>
      <c r="D5" s="43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3" t="s">
        <v>69</v>
      </c>
      <c r="Q5" s="2"/>
      <c r="R5" s="43"/>
      <c r="S5" s="43"/>
      <c r="T5" s="43"/>
      <c r="U5" s="43"/>
      <c r="V5" s="43"/>
    </row>
    <row r="6" spans="1:22" x14ac:dyDescent="0.25">
      <c r="A6" s="43"/>
      <c r="B6" s="43"/>
      <c r="C6" s="43"/>
      <c r="D6" s="43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43"/>
      <c r="S6" s="43"/>
      <c r="T6" s="43"/>
      <c r="U6" s="43"/>
      <c r="V6" s="43"/>
    </row>
    <row r="7" spans="1:2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ht="21" x14ac:dyDescent="0.35">
      <c r="A9" s="1"/>
      <c r="B9" s="1"/>
      <c r="C9" s="1"/>
      <c r="D9" s="1"/>
      <c r="E9" s="12" t="s">
        <v>34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12" t="s">
        <v>38</v>
      </c>
      <c r="Q9" s="12"/>
      <c r="R9" s="1"/>
      <c r="S9" s="1"/>
      <c r="T9" s="1"/>
      <c r="U9" s="1"/>
      <c r="V9" s="1"/>
    </row>
    <row r="10" spans="1:22" ht="21" x14ac:dyDescent="0.25">
      <c r="A10" s="1"/>
      <c r="B10" s="1"/>
      <c r="C10" s="1"/>
      <c r="D10" s="1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83">
        <f>SUM(N20,N34,N48,N62,N77)</f>
        <v>72</v>
      </c>
      <c r="Q10" s="83"/>
      <c r="R10" s="1"/>
      <c r="S10" s="1"/>
      <c r="T10" s="1"/>
      <c r="U10" s="1"/>
      <c r="V10" s="1"/>
    </row>
    <row r="11" spans="1:22" ht="29.25" customHeight="1" thickBot="1" x14ac:dyDescent="0.4">
      <c r="A11" s="1"/>
      <c r="B11" s="1"/>
      <c r="C11" s="1"/>
      <c r="D11" s="1"/>
      <c r="E11" s="65" t="s">
        <v>39</v>
      </c>
      <c r="F11" s="65"/>
      <c r="G11" s="85">
        <v>44500</v>
      </c>
      <c r="H11" s="85">
        <v>44501</v>
      </c>
      <c r="I11" s="85">
        <v>44502</v>
      </c>
      <c r="J11" s="85">
        <v>44503</v>
      </c>
      <c r="K11" s="85">
        <v>44504</v>
      </c>
      <c r="L11" s="85">
        <v>44505</v>
      </c>
      <c r="M11" s="85">
        <v>44506</v>
      </c>
      <c r="N11" s="15" t="s">
        <v>4</v>
      </c>
      <c r="O11" s="13"/>
      <c r="P11" s="20"/>
      <c r="Q11" s="17"/>
      <c r="R11" s="1"/>
      <c r="S11" s="1"/>
      <c r="T11" s="1"/>
      <c r="U11" s="1"/>
      <c r="V11" s="1"/>
    </row>
    <row r="12" spans="1:22" ht="21.75" thickTop="1" x14ac:dyDescent="0.35">
      <c r="A12" s="1"/>
      <c r="B12" s="1"/>
      <c r="C12" s="1"/>
      <c r="D12" s="1"/>
      <c r="E12" s="79" t="s">
        <v>29</v>
      </c>
      <c r="F12" s="79"/>
      <c r="G12" s="86">
        <v>12</v>
      </c>
      <c r="H12" s="86">
        <v>12</v>
      </c>
      <c r="I12" s="86">
        <v>12</v>
      </c>
      <c r="J12" s="86">
        <v>12</v>
      </c>
      <c r="K12" s="86">
        <v>12</v>
      </c>
      <c r="L12" s="86">
        <v>12</v>
      </c>
      <c r="M12" s="86">
        <v>0</v>
      </c>
      <c r="N12" s="21">
        <f>SUM(G12:M12)</f>
        <v>72</v>
      </c>
      <c r="O12" s="13"/>
      <c r="P12" s="12"/>
      <c r="Q12" s="12"/>
      <c r="R12" s="1"/>
      <c r="S12" s="1"/>
      <c r="T12" s="1"/>
      <c r="U12" s="1"/>
      <c r="V12" s="1"/>
    </row>
    <row r="13" spans="1:22" ht="21" x14ac:dyDescent="0.35">
      <c r="A13" s="1"/>
      <c r="B13" s="1"/>
      <c r="C13" s="1"/>
      <c r="D13" s="1"/>
      <c r="E13" s="79" t="s">
        <v>30</v>
      </c>
      <c r="F13" s="79"/>
      <c r="G13" s="86">
        <v>0</v>
      </c>
      <c r="H13" s="86">
        <v>0</v>
      </c>
      <c r="I13" s="86">
        <v>0</v>
      </c>
      <c r="J13" s="86">
        <v>0</v>
      </c>
      <c r="K13" s="86">
        <v>0</v>
      </c>
      <c r="L13" s="86">
        <v>0</v>
      </c>
      <c r="M13" s="86">
        <v>0</v>
      </c>
      <c r="N13" s="21">
        <f t="shared" ref="N13:N19" si="0">SUM(G13:M13)</f>
        <v>0</v>
      </c>
      <c r="O13" s="13"/>
      <c r="P13" s="12" t="s">
        <v>40</v>
      </c>
      <c r="Q13" s="12"/>
      <c r="R13" s="1"/>
      <c r="S13" s="1"/>
      <c r="T13" s="1"/>
      <c r="U13" s="1"/>
      <c r="V13" s="1"/>
    </row>
    <row r="14" spans="1:22" ht="21" x14ac:dyDescent="0.35">
      <c r="A14" s="1"/>
      <c r="B14" s="1"/>
      <c r="C14" s="1"/>
      <c r="D14" s="1"/>
      <c r="E14" s="80" t="s">
        <v>31</v>
      </c>
      <c r="F14" s="80"/>
      <c r="G14" s="86">
        <v>0</v>
      </c>
      <c r="H14" s="86">
        <v>0</v>
      </c>
      <c r="I14" s="86">
        <v>0</v>
      </c>
      <c r="J14" s="86">
        <v>0</v>
      </c>
      <c r="K14" s="86">
        <v>0</v>
      </c>
      <c r="L14" s="86">
        <v>0</v>
      </c>
      <c r="M14" s="86">
        <v>0</v>
      </c>
      <c r="N14" s="21">
        <f t="shared" si="0"/>
        <v>0</v>
      </c>
      <c r="O14" s="13"/>
      <c r="P14" s="82">
        <f>SUM(N20,N34,N48,N62,N77)/4</f>
        <v>18</v>
      </c>
      <c r="Q14" s="82"/>
      <c r="R14" s="1"/>
      <c r="S14" s="1"/>
      <c r="T14" s="1"/>
      <c r="U14" s="1"/>
      <c r="V14" s="1"/>
    </row>
    <row r="15" spans="1:22" ht="18.75" x14ac:dyDescent="0.25">
      <c r="A15" s="1"/>
      <c r="B15" s="1"/>
      <c r="C15" s="1"/>
      <c r="D15" s="1"/>
      <c r="E15" s="80" t="s">
        <v>55</v>
      </c>
      <c r="F15" s="80"/>
      <c r="G15" s="86">
        <v>0</v>
      </c>
      <c r="H15" s="86">
        <v>0</v>
      </c>
      <c r="I15" s="86">
        <v>0</v>
      </c>
      <c r="J15" s="86">
        <v>0</v>
      </c>
      <c r="K15" s="86">
        <v>0</v>
      </c>
      <c r="L15" s="86">
        <v>0</v>
      </c>
      <c r="M15" s="86">
        <v>0</v>
      </c>
      <c r="N15" s="21">
        <f t="shared" si="0"/>
        <v>0</v>
      </c>
      <c r="O15" s="13"/>
      <c r="P15" s="13"/>
      <c r="Q15" s="13"/>
      <c r="R15" s="1"/>
      <c r="S15" s="1"/>
      <c r="T15" s="1"/>
      <c r="U15" s="1"/>
      <c r="V15" s="1"/>
    </row>
    <row r="16" spans="1:22" ht="18.75" x14ac:dyDescent="0.25">
      <c r="A16" s="1"/>
      <c r="B16" s="1"/>
      <c r="C16" s="1"/>
      <c r="D16" s="1"/>
      <c r="E16" s="79" t="s">
        <v>41</v>
      </c>
      <c r="F16" s="79"/>
      <c r="G16" s="86">
        <v>0</v>
      </c>
      <c r="H16" s="86">
        <v>0</v>
      </c>
      <c r="I16" s="86">
        <v>0</v>
      </c>
      <c r="J16" s="86">
        <v>0</v>
      </c>
      <c r="K16" s="86">
        <v>0</v>
      </c>
      <c r="L16" s="86">
        <v>0</v>
      </c>
      <c r="M16" s="86">
        <v>0</v>
      </c>
      <c r="N16" s="21">
        <f t="shared" si="0"/>
        <v>0</v>
      </c>
      <c r="O16" s="13"/>
      <c r="P16" s="13"/>
      <c r="Q16" s="13"/>
      <c r="R16" s="1"/>
      <c r="S16" s="1"/>
      <c r="T16" s="1"/>
      <c r="U16" s="1"/>
      <c r="V16" s="1"/>
    </row>
    <row r="17" spans="1:22" ht="18.75" x14ac:dyDescent="0.25">
      <c r="A17" s="1"/>
      <c r="B17" s="1"/>
      <c r="C17" s="1"/>
      <c r="D17" s="1"/>
      <c r="E17" s="79" t="s">
        <v>56</v>
      </c>
      <c r="F17" s="79"/>
      <c r="G17" s="86">
        <v>0</v>
      </c>
      <c r="H17" s="86">
        <v>0</v>
      </c>
      <c r="I17" s="86">
        <v>0</v>
      </c>
      <c r="J17" s="86">
        <v>0</v>
      </c>
      <c r="K17" s="86">
        <v>0</v>
      </c>
      <c r="L17" s="86">
        <v>0</v>
      </c>
      <c r="M17" s="86">
        <v>0</v>
      </c>
      <c r="N17" s="21">
        <f t="shared" si="0"/>
        <v>0</v>
      </c>
      <c r="O17" s="13"/>
      <c r="P17" s="13"/>
      <c r="Q17" s="13"/>
      <c r="R17" s="1"/>
      <c r="S17" s="1"/>
      <c r="T17" s="1"/>
      <c r="U17" s="1"/>
      <c r="V17" s="1"/>
    </row>
    <row r="18" spans="1:22" ht="18.75" x14ac:dyDescent="0.25">
      <c r="A18" s="1"/>
      <c r="B18" s="1"/>
      <c r="C18" s="1"/>
      <c r="D18" s="1"/>
      <c r="E18" s="79" t="s">
        <v>57</v>
      </c>
      <c r="F18" s="79"/>
      <c r="G18" s="86">
        <v>0</v>
      </c>
      <c r="H18" s="86">
        <v>0</v>
      </c>
      <c r="I18" s="86">
        <v>0</v>
      </c>
      <c r="J18" s="86">
        <v>0</v>
      </c>
      <c r="K18" s="86">
        <v>0</v>
      </c>
      <c r="L18" s="86">
        <v>0</v>
      </c>
      <c r="M18" s="86">
        <v>0</v>
      </c>
      <c r="N18" s="21">
        <f t="shared" si="0"/>
        <v>0</v>
      </c>
      <c r="O18" s="13"/>
      <c r="P18" s="13"/>
      <c r="Q18" s="13"/>
      <c r="R18" s="1"/>
      <c r="S18" s="1"/>
      <c r="T18" s="1"/>
      <c r="U18" s="1"/>
      <c r="V18" s="1"/>
    </row>
    <row r="19" spans="1:22" ht="18.75" x14ac:dyDescent="0.25">
      <c r="A19" s="1"/>
      <c r="B19" s="1"/>
      <c r="C19" s="1"/>
      <c r="D19" s="1"/>
      <c r="E19" s="79" t="s">
        <v>49</v>
      </c>
      <c r="F19" s="79"/>
      <c r="G19" s="86">
        <v>0</v>
      </c>
      <c r="H19" s="86">
        <v>0</v>
      </c>
      <c r="I19" s="86">
        <v>0</v>
      </c>
      <c r="J19" s="86">
        <v>0</v>
      </c>
      <c r="K19" s="86">
        <v>0</v>
      </c>
      <c r="L19" s="86">
        <v>0</v>
      </c>
      <c r="M19" s="86">
        <v>0</v>
      </c>
      <c r="N19" s="21">
        <f t="shared" si="0"/>
        <v>0</v>
      </c>
      <c r="O19" s="13"/>
      <c r="P19" s="13"/>
      <c r="Q19" s="13"/>
      <c r="R19" s="1"/>
      <c r="S19" s="1"/>
      <c r="T19" s="1"/>
      <c r="U19" s="1"/>
      <c r="V19" s="1"/>
    </row>
    <row r="20" spans="1:22" ht="29.25" customHeight="1" x14ac:dyDescent="0.3">
      <c r="A20" s="1"/>
      <c r="B20" s="1"/>
      <c r="C20" s="1"/>
      <c r="D20" s="1"/>
      <c r="E20" s="81" t="s">
        <v>32</v>
      </c>
      <c r="F20" s="81"/>
      <c r="G20" s="16">
        <f>SUM(G12:G19)</f>
        <v>12</v>
      </c>
      <c r="H20" s="16">
        <f t="shared" ref="H20:N20" si="1">SUM(H12:H19)</f>
        <v>12</v>
      </c>
      <c r="I20" s="16">
        <f t="shared" si="1"/>
        <v>12</v>
      </c>
      <c r="J20" s="16">
        <f t="shared" si="1"/>
        <v>12</v>
      </c>
      <c r="K20" s="16">
        <f t="shared" si="1"/>
        <v>12</v>
      </c>
      <c r="L20" s="16">
        <f t="shared" si="1"/>
        <v>12</v>
      </c>
      <c r="M20" s="16">
        <f t="shared" si="1"/>
        <v>0</v>
      </c>
      <c r="N20" s="84">
        <f t="shared" si="1"/>
        <v>72</v>
      </c>
      <c r="O20" s="84"/>
      <c r="P20" s="13"/>
      <c r="Q20" s="13"/>
      <c r="R20" s="1"/>
      <c r="S20" s="1"/>
      <c r="T20" s="1"/>
      <c r="U20" s="1"/>
      <c r="V20" s="1"/>
    </row>
    <row r="21" spans="1:2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</row>
    <row r="22" spans="1:2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</row>
    <row r="23" spans="1:2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4" spans="1:22" ht="21" x14ac:dyDescent="0.35">
      <c r="A24" s="1"/>
      <c r="B24" s="1"/>
      <c r="C24" s="1"/>
      <c r="D24" s="1"/>
      <c r="E24" s="19" t="s">
        <v>42</v>
      </c>
      <c r="F24" s="18"/>
      <c r="G24" s="13"/>
      <c r="H24" s="13"/>
      <c r="I24" s="13"/>
      <c r="J24" s="13"/>
      <c r="K24" s="13"/>
      <c r="L24" s="13"/>
      <c r="M24" s="13"/>
      <c r="N24" s="13"/>
      <c r="O24" s="1"/>
      <c r="P24" s="1"/>
      <c r="Q24" s="1"/>
      <c r="R24" s="1"/>
      <c r="S24" s="1"/>
      <c r="T24" s="1"/>
      <c r="U24" s="1"/>
      <c r="V24" s="1"/>
    </row>
    <row r="25" spans="1:22" x14ac:dyDescent="0.25">
      <c r="A25" s="1"/>
      <c r="B25" s="1"/>
      <c r="C25" s="1"/>
      <c r="D25" s="1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"/>
      <c r="P25" s="1"/>
      <c r="Q25" s="1"/>
      <c r="R25" s="1"/>
      <c r="S25" s="1"/>
      <c r="T25" s="1"/>
      <c r="U25" s="1"/>
      <c r="V25" s="1"/>
    </row>
    <row r="26" spans="1:22" ht="20.25" thickBot="1" x14ac:dyDescent="0.3">
      <c r="A26" s="1"/>
      <c r="B26" s="1"/>
      <c r="C26" s="1"/>
      <c r="D26" s="1"/>
      <c r="E26" s="65" t="s">
        <v>39</v>
      </c>
      <c r="F26" s="65"/>
      <c r="G26" s="85">
        <v>44507</v>
      </c>
      <c r="H26" s="85">
        <v>44508</v>
      </c>
      <c r="I26" s="85">
        <v>44509</v>
      </c>
      <c r="J26" s="85">
        <v>44510</v>
      </c>
      <c r="K26" s="85">
        <v>44511</v>
      </c>
      <c r="L26" s="85">
        <v>44512</v>
      </c>
      <c r="M26" s="85">
        <v>44513</v>
      </c>
      <c r="N26" s="36" t="s">
        <v>4</v>
      </c>
      <c r="O26" s="13"/>
      <c r="P26" s="1"/>
      <c r="Q26" s="1"/>
      <c r="R26" s="1"/>
      <c r="S26" s="1"/>
      <c r="T26" s="1"/>
      <c r="U26" s="1"/>
      <c r="V26" s="1"/>
    </row>
    <row r="27" spans="1:22" ht="19.5" thickTop="1" x14ac:dyDescent="0.25">
      <c r="A27" s="1"/>
      <c r="B27" s="1"/>
      <c r="C27" s="1"/>
      <c r="D27" s="1"/>
      <c r="E27" s="79" t="s">
        <v>29</v>
      </c>
      <c r="F27" s="79"/>
      <c r="G27" s="86">
        <v>0</v>
      </c>
      <c r="H27" s="86">
        <v>0</v>
      </c>
      <c r="I27" s="86">
        <v>0</v>
      </c>
      <c r="J27" s="86">
        <v>0</v>
      </c>
      <c r="K27" s="86">
        <v>0</v>
      </c>
      <c r="L27" s="86">
        <v>0</v>
      </c>
      <c r="M27" s="86">
        <v>0</v>
      </c>
      <c r="N27" s="21">
        <f>SUM(G27:M27)</f>
        <v>0</v>
      </c>
      <c r="O27" s="13"/>
      <c r="P27" s="1"/>
      <c r="Q27" s="1"/>
      <c r="R27" s="1"/>
      <c r="S27" s="1"/>
      <c r="T27" s="1"/>
      <c r="U27" s="1"/>
      <c r="V27" s="1"/>
    </row>
    <row r="28" spans="1:22" ht="18.75" x14ac:dyDescent="0.25">
      <c r="A28" s="1"/>
      <c r="B28" s="1"/>
      <c r="C28" s="1"/>
      <c r="D28" s="1"/>
      <c r="E28" s="79" t="s">
        <v>30</v>
      </c>
      <c r="F28" s="79"/>
      <c r="G28" s="86">
        <v>0</v>
      </c>
      <c r="H28" s="86">
        <v>0</v>
      </c>
      <c r="I28" s="86">
        <v>0</v>
      </c>
      <c r="J28" s="86">
        <v>0</v>
      </c>
      <c r="K28" s="86">
        <v>0</v>
      </c>
      <c r="L28" s="86">
        <v>0</v>
      </c>
      <c r="M28" s="86">
        <v>0</v>
      </c>
      <c r="N28" s="21">
        <f t="shared" ref="N28:N34" si="2">SUM(G28:M28)</f>
        <v>0</v>
      </c>
      <c r="O28" s="13"/>
      <c r="P28" s="1"/>
      <c r="Q28" s="1"/>
      <c r="R28" s="1"/>
      <c r="S28" s="1"/>
      <c r="T28" s="1"/>
      <c r="U28" s="1"/>
      <c r="V28" s="1"/>
    </row>
    <row r="29" spans="1:22" ht="18.75" x14ac:dyDescent="0.25">
      <c r="A29" s="1"/>
      <c r="B29" s="1"/>
      <c r="C29" s="1"/>
      <c r="D29" s="1"/>
      <c r="E29" s="80" t="s">
        <v>31</v>
      </c>
      <c r="F29" s="80"/>
      <c r="G29" s="86">
        <v>0</v>
      </c>
      <c r="H29" s="86">
        <v>0</v>
      </c>
      <c r="I29" s="86">
        <v>0</v>
      </c>
      <c r="J29" s="86">
        <v>0</v>
      </c>
      <c r="K29" s="86">
        <v>0</v>
      </c>
      <c r="L29" s="86">
        <v>0</v>
      </c>
      <c r="M29" s="86">
        <v>0</v>
      </c>
      <c r="N29" s="21">
        <f t="shared" si="2"/>
        <v>0</v>
      </c>
      <c r="O29" s="13"/>
      <c r="P29" s="1"/>
      <c r="Q29" s="1"/>
      <c r="R29" s="1"/>
      <c r="S29" s="1"/>
      <c r="T29" s="1"/>
      <c r="U29" s="1"/>
      <c r="V29" s="1"/>
    </row>
    <row r="30" spans="1:22" ht="18.75" x14ac:dyDescent="0.25">
      <c r="A30" s="1"/>
      <c r="B30" s="1"/>
      <c r="C30" s="1"/>
      <c r="D30" s="1"/>
      <c r="E30" s="80" t="s">
        <v>11</v>
      </c>
      <c r="F30" s="80"/>
      <c r="G30" s="86">
        <v>0</v>
      </c>
      <c r="H30" s="86">
        <v>0</v>
      </c>
      <c r="I30" s="86">
        <v>0</v>
      </c>
      <c r="J30" s="86">
        <v>0</v>
      </c>
      <c r="K30" s="86">
        <v>0</v>
      </c>
      <c r="L30" s="86">
        <v>0</v>
      </c>
      <c r="M30" s="86">
        <v>0</v>
      </c>
      <c r="N30" s="21">
        <f t="shared" si="2"/>
        <v>0</v>
      </c>
      <c r="O30" s="13"/>
      <c r="P30" s="1"/>
      <c r="Q30" s="1"/>
      <c r="R30" s="1"/>
      <c r="S30" s="1"/>
      <c r="T30" s="1"/>
      <c r="U30" s="1"/>
      <c r="V30" s="1"/>
    </row>
    <row r="31" spans="1:22" ht="18.75" x14ac:dyDescent="0.25">
      <c r="A31" s="1"/>
      <c r="B31" s="1"/>
      <c r="C31" s="1"/>
      <c r="D31" s="1"/>
      <c r="E31" s="79" t="s">
        <v>41</v>
      </c>
      <c r="F31" s="79"/>
      <c r="G31" s="86">
        <v>0</v>
      </c>
      <c r="H31" s="86">
        <v>0</v>
      </c>
      <c r="I31" s="86">
        <v>0</v>
      </c>
      <c r="J31" s="86">
        <v>0</v>
      </c>
      <c r="K31" s="86">
        <v>0</v>
      </c>
      <c r="L31" s="86">
        <v>0</v>
      </c>
      <c r="M31" s="86">
        <v>0</v>
      </c>
      <c r="N31" s="21">
        <f t="shared" si="2"/>
        <v>0</v>
      </c>
      <c r="O31" s="13"/>
      <c r="P31" s="1"/>
      <c r="Q31" s="1"/>
      <c r="R31" s="1"/>
      <c r="S31" s="1"/>
      <c r="T31" s="1"/>
      <c r="U31" s="1"/>
      <c r="V31" s="1"/>
    </row>
    <row r="32" spans="1:22" ht="18.75" x14ac:dyDescent="0.25">
      <c r="A32" s="1"/>
      <c r="B32" s="1"/>
      <c r="C32" s="1"/>
      <c r="D32" s="1"/>
      <c r="E32" s="79" t="s">
        <v>49</v>
      </c>
      <c r="F32" s="79"/>
      <c r="G32" s="86">
        <v>0</v>
      </c>
      <c r="H32" s="86">
        <v>0</v>
      </c>
      <c r="I32" s="86">
        <v>0</v>
      </c>
      <c r="J32" s="86">
        <v>0</v>
      </c>
      <c r="K32" s="86">
        <v>0</v>
      </c>
      <c r="L32" s="86">
        <v>0</v>
      </c>
      <c r="M32" s="86">
        <v>0</v>
      </c>
      <c r="N32" s="21">
        <f t="shared" si="2"/>
        <v>0</v>
      </c>
      <c r="O32" s="13"/>
      <c r="P32" s="1"/>
      <c r="Q32" s="1"/>
      <c r="R32" s="1"/>
      <c r="S32" s="1"/>
      <c r="T32" s="1"/>
      <c r="U32" s="1"/>
      <c r="V32" s="1"/>
    </row>
    <row r="33" spans="1:22" ht="18.75" x14ac:dyDescent="0.25">
      <c r="A33" s="1"/>
      <c r="B33" s="1"/>
      <c r="C33" s="1"/>
      <c r="D33" s="1"/>
      <c r="E33" s="79" t="s">
        <v>49</v>
      </c>
      <c r="F33" s="79"/>
      <c r="G33" s="86">
        <v>0</v>
      </c>
      <c r="H33" s="86">
        <v>0</v>
      </c>
      <c r="I33" s="86">
        <v>0</v>
      </c>
      <c r="J33" s="86">
        <v>0</v>
      </c>
      <c r="K33" s="86">
        <v>0</v>
      </c>
      <c r="L33" s="86">
        <v>0</v>
      </c>
      <c r="M33" s="86">
        <v>0</v>
      </c>
      <c r="N33" s="21">
        <f t="shared" si="2"/>
        <v>0</v>
      </c>
      <c r="O33" s="13"/>
      <c r="P33" s="1"/>
      <c r="Q33" s="1"/>
      <c r="R33" s="1"/>
      <c r="S33" s="1"/>
      <c r="T33" s="1"/>
      <c r="U33" s="1"/>
      <c r="V33" s="1"/>
    </row>
    <row r="34" spans="1:22" ht="24.75" customHeight="1" x14ac:dyDescent="0.25">
      <c r="A34" s="1"/>
      <c r="B34" s="1"/>
      <c r="C34" s="1"/>
      <c r="D34" s="1"/>
      <c r="E34" s="79" t="s">
        <v>49</v>
      </c>
      <c r="F34" s="79"/>
      <c r="G34" s="86">
        <v>0</v>
      </c>
      <c r="H34" s="86">
        <v>0</v>
      </c>
      <c r="I34" s="86">
        <v>0</v>
      </c>
      <c r="J34" s="86">
        <v>0</v>
      </c>
      <c r="K34" s="86">
        <v>0</v>
      </c>
      <c r="L34" s="86">
        <v>0</v>
      </c>
      <c r="M34" s="86">
        <v>0</v>
      </c>
      <c r="N34" s="21">
        <f t="shared" si="2"/>
        <v>0</v>
      </c>
      <c r="O34" s="13"/>
      <c r="P34" s="1"/>
      <c r="Q34" s="1"/>
      <c r="R34" s="1"/>
      <c r="S34" s="1"/>
      <c r="T34" s="1"/>
      <c r="U34" s="1"/>
      <c r="V34" s="1"/>
    </row>
    <row r="35" spans="1:22" ht="18.75" x14ac:dyDescent="0.3">
      <c r="A35" s="1"/>
      <c r="B35" s="1"/>
      <c r="C35" s="1"/>
      <c r="D35" s="1"/>
      <c r="E35" s="81" t="s">
        <v>32</v>
      </c>
      <c r="F35" s="81"/>
      <c r="G35" s="16">
        <f>SUM(G27:G34)</f>
        <v>0</v>
      </c>
      <c r="H35" s="16">
        <f t="shared" ref="H35:N35" si="3">SUM(H27:H34)</f>
        <v>0</v>
      </c>
      <c r="I35" s="16">
        <f t="shared" si="3"/>
        <v>0</v>
      </c>
      <c r="J35" s="16">
        <f t="shared" si="3"/>
        <v>0</v>
      </c>
      <c r="K35" s="16">
        <f t="shared" si="3"/>
        <v>0</v>
      </c>
      <c r="L35" s="16">
        <f t="shared" si="3"/>
        <v>0</v>
      </c>
      <c r="M35" s="16">
        <f t="shared" si="3"/>
        <v>0</v>
      </c>
      <c r="N35" s="84">
        <f t="shared" si="3"/>
        <v>0</v>
      </c>
      <c r="O35" s="84"/>
      <c r="P35" s="1"/>
      <c r="Q35" s="1"/>
      <c r="R35" s="1"/>
      <c r="S35" s="1"/>
      <c r="T35" s="1"/>
      <c r="U35" s="1"/>
      <c r="V35" s="1"/>
    </row>
    <row r="36" spans="1:2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</row>
    <row r="37" spans="1:2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</row>
    <row r="38" spans="1:22" ht="21" x14ac:dyDescent="0.35">
      <c r="A38" s="1"/>
      <c r="B38" s="1"/>
      <c r="C38" s="1"/>
      <c r="D38" s="1"/>
      <c r="E38" s="12" t="s">
        <v>35</v>
      </c>
      <c r="F38" s="13"/>
      <c r="G38" s="13"/>
      <c r="H38" s="13"/>
      <c r="I38" s="13"/>
      <c r="J38" s="13"/>
      <c r="K38" s="13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</row>
    <row r="39" spans="1:22" x14ac:dyDescent="0.25">
      <c r="A39" s="1"/>
      <c r="B39" s="1"/>
      <c r="C39" s="1"/>
      <c r="D39" s="1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"/>
      <c r="P39" s="1"/>
      <c r="Q39" s="1"/>
      <c r="R39" s="1"/>
      <c r="S39" s="1"/>
      <c r="T39" s="1"/>
      <c r="U39" s="1"/>
      <c r="V39" s="1"/>
    </row>
    <row r="40" spans="1:22" ht="20.25" thickBot="1" x14ac:dyDescent="0.3">
      <c r="A40" s="1"/>
      <c r="B40" s="1"/>
      <c r="C40" s="1"/>
      <c r="D40" s="1"/>
      <c r="E40" s="65" t="s">
        <v>39</v>
      </c>
      <c r="F40" s="65"/>
      <c r="G40" s="85">
        <v>44514</v>
      </c>
      <c r="H40" s="85">
        <v>44515</v>
      </c>
      <c r="I40" s="85">
        <v>44516</v>
      </c>
      <c r="J40" s="85">
        <v>44517</v>
      </c>
      <c r="K40" s="85">
        <v>44518</v>
      </c>
      <c r="L40" s="85">
        <v>44519</v>
      </c>
      <c r="M40" s="85">
        <v>44520</v>
      </c>
      <c r="N40" s="36" t="s">
        <v>4</v>
      </c>
      <c r="O40" s="13"/>
      <c r="P40" s="1"/>
      <c r="Q40" s="1"/>
      <c r="R40" s="1"/>
      <c r="S40" s="1"/>
      <c r="T40" s="1"/>
      <c r="U40" s="1"/>
      <c r="V40" s="1"/>
    </row>
    <row r="41" spans="1:22" ht="19.5" thickTop="1" x14ac:dyDescent="0.25">
      <c r="A41" s="1"/>
      <c r="B41" s="1"/>
      <c r="C41" s="1"/>
      <c r="D41" s="1"/>
      <c r="E41" s="79" t="s">
        <v>29</v>
      </c>
      <c r="F41" s="79"/>
      <c r="G41" s="86">
        <v>0</v>
      </c>
      <c r="H41" s="86">
        <v>0</v>
      </c>
      <c r="I41" s="86">
        <v>0</v>
      </c>
      <c r="J41" s="86">
        <v>0</v>
      </c>
      <c r="K41" s="86">
        <v>0</v>
      </c>
      <c r="L41" s="86">
        <v>0</v>
      </c>
      <c r="M41" s="86">
        <v>0</v>
      </c>
      <c r="N41" s="21">
        <f>SUM(G41:M41)</f>
        <v>0</v>
      </c>
      <c r="O41" s="13"/>
      <c r="P41" s="1"/>
      <c r="Q41" s="1"/>
      <c r="R41" s="1"/>
      <c r="S41" s="1"/>
      <c r="T41" s="1"/>
      <c r="U41" s="1"/>
      <c r="V41" s="1"/>
    </row>
    <row r="42" spans="1:22" ht="18.75" x14ac:dyDescent="0.25">
      <c r="A42" s="1"/>
      <c r="B42" s="1"/>
      <c r="C42" s="1"/>
      <c r="D42" s="1"/>
      <c r="E42" s="79" t="s">
        <v>30</v>
      </c>
      <c r="F42" s="79"/>
      <c r="G42" s="86">
        <v>0</v>
      </c>
      <c r="H42" s="86">
        <v>0</v>
      </c>
      <c r="I42" s="86">
        <v>0</v>
      </c>
      <c r="J42" s="86">
        <v>0</v>
      </c>
      <c r="K42" s="86">
        <v>0</v>
      </c>
      <c r="L42" s="86">
        <v>0</v>
      </c>
      <c r="M42" s="86">
        <v>0</v>
      </c>
      <c r="N42" s="21">
        <f t="shared" ref="N42:N48" si="4">SUM(G42:M42)</f>
        <v>0</v>
      </c>
      <c r="O42" s="13"/>
      <c r="P42" s="1"/>
      <c r="Q42" s="1"/>
      <c r="R42" s="1"/>
      <c r="S42" s="1"/>
      <c r="T42" s="1"/>
      <c r="U42" s="1"/>
      <c r="V42" s="1"/>
    </row>
    <row r="43" spans="1:22" ht="18.75" x14ac:dyDescent="0.25">
      <c r="A43" s="1"/>
      <c r="B43" s="1"/>
      <c r="C43" s="1"/>
      <c r="D43" s="1"/>
      <c r="E43" s="80" t="s">
        <v>31</v>
      </c>
      <c r="F43" s="80"/>
      <c r="G43" s="86">
        <v>0</v>
      </c>
      <c r="H43" s="86">
        <v>0</v>
      </c>
      <c r="I43" s="86">
        <v>0</v>
      </c>
      <c r="J43" s="86">
        <v>0</v>
      </c>
      <c r="K43" s="86">
        <v>0</v>
      </c>
      <c r="L43" s="86">
        <v>0</v>
      </c>
      <c r="M43" s="86">
        <v>0</v>
      </c>
      <c r="N43" s="21">
        <f t="shared" si="4"/>
        <v>0</v>
      </c>
      <c r="O43" s="13"/>
      <c r="P43" s="1"/>
      <c r="Q43" s="1"/>
      <c r="R43" s="1"/>
      <c r="S43" s="1"/>
      <c r="T43" s="1"/>
      <c r="U43" s="1"/>
      <c r="V43" s="1"/>
    </row>
    <row r="44" spans="1:22" ht="18.75" x14ac:dyDescent="0.25">
      <c r="A44" s="1"/>
      <c r="B44" s="1"/>
      <c r="C44" s="1"/>
      <c r="D44" s="1"/>
      <c r="E44" s="80" t="s">
        <v>11</v>
      </c>
      <c r="F44" s="80"/>
      <c r="G44" s="86">
        <v>0</v>
      </c>
      <c r="H44" s="86">
        <v>0</v>
      </c>
      <c r="I44" s="86">
        <v>0</v>
      </c>
      <c r="J44" s="86">
        <v>0</v>
      </c>
      <c r="K44" s="86">
        <v>0</v>
      </c>
      <c r="L44" s="86">
        <v>0</v>
      </c>
      <c r="M44" s="86">
        <v>0</v>
      </c>
      <c r="N44" s="21">
        <f t="shared" si="4"/>
        <v>0</v>
      </c>
      <c r="O44" s="13"/>
      <c r="P44" s="1"/>
      <c r="Q44" s="1"/>
      <c r="R44" s="1"/>
      <c r="S44" s="1"/>
      <c r="T44" s="1"/>
      <c r="U44" s="1"/>
      <c r="V44" s="1"/>
    </row>
    <row r="45" spans="1:22" ht="18.75" x14ac:dyDescent="0.25">
      <c r="A45" s="1"/>
      <c r="B45" s="1"/>
      <c r="C45" s="1"/>
      <c r="D45" s="1"/>
      <c r="E45" s="79" t="s">
        <v>41</v>
      </c>
      <c r="F45" s="79"/>
      <c r="G45" s="86">
        <v>0</v>
      </c>
      <c r="H45" s="86">
        <v>0</v>
      </c>
      <c r="I45" s="86">
        <v>0</v>
      </c>
      <c r="J45" s="86">
        <v>0</v>
      </c>
      <c r="K45" s="86">
        <v>0</v>
      </c>
      <c r="L45" s="86">
        <v>0</v>
      </c>
      <c r="M45" s="86">
        <v>0</v>
      </c>
      <c r="N45" s="21">
        <f t="shared" si="4"/>
        <v>0</v>
      </c>
      <c r="O45" s="13"/>
      <c r="P45" s="1"/>
      <c r="Q45" s="1"/>
      <c r="R45" s="1"/>
      <c r="S45" s="1"/>
      <c r="T45" s="1"/>
      <c r="U45" s="1"/>
      <c r="V45" s="1"/>
    </row>
    <row r="46" spans="1:22" ht="18.75" x14ac:dyDescent="0.25">
      <c r="A46" s="1"/>
      <c r="B46" s="1"/>
      <c r="C46" s="1"/>
      <c r="D46" s="1"/>
      <c r="E46" s="79" t="s">
        <v>49</v>
      </c>
      <c r="F46" s="79"/>
      <c r="G46" s="86">
        <v>0</v>
      </c>
      <c r="H46" s="86">
        <v>0</v>
      </c>
      <c r="I46" s="86">
        <v>0</v>
      </c>
      <c r="J46" s="86">
        <v>0</v>
      </c>
      <c r="K46" s="86">
        <v>0</v>
      </c>
      <c r="L46" s="86">
        <v>0</v>
      </c>
      <c r="M46" s="86">
        <v>0</v>
      </c>
      <c r="N46" s="21">
        <f t="shared" si="4"/>
        <v>0</v>
      </c>
      <c r="O46" s="13"/>
      <c r="P46" s="1"/>
      <c r="Q46" s="1"/>
      <c r="R46" s="1"/>
      <c r="S46" s="1"/>
      <c r="T46" s="1"/>
      <c r="U46" s="1"/>
      <c r="V46" s="1"/>
    </row>
    <row r="47" spans="1:22" ht="18.75" x14ac:dyDescent="0.25">
      <c r="A47" s="1"/>
      <c r="B47" s="1"/>
      <c r="C47" s="1"/>
      <c r="D47" s="1"/>
      <c r="E47" s="79" t="s">
        <v>49</v>
      </c>
      <c r="F47" s="79"/>
      <c r="G47" s="86">
        <v>0</v>
      </c>
      <c r="H47" s="86">
        <v>0</v>
      </c>
      <c r="I47" s="86">
        <v>0</v>
      </c>
      <c r="J47" s="86">
        <v>0</v>
      </c>
      <c r="K47" s="86">
        <v>0</v>
      </c>
      <c r="L47" s="86">
        <v>0</v>
      </c>
      <c r="M47" s="86">
        <v>0</v>
      </c>
      <c r="N47" s="21">
        <f t="shared" si="4"/>
        <v>0</v>
      </c>
      <c r="O47" s="13"/>
      <c r="P47" s="1"/>
      <c r="Q47" s="1"/>
      <c r="R47" s="1"/>
      <c r="S47" s="1"/>
      <c r="T47" s="1"/>
      <c r="U47" s="1"/>
      <c r="V47" s="1"/>
    </row>
    <row r="48" spans="1:22" ht="27" customHeight="1" x14ac:dyDescent="0.25">
      <c r="A48" s="1"/>
      <c r="B48" s="1"/>
      <c r="C48" s="1"/>
      <c r="D48" s="1"/>
      <c r="E48" s="79" t="s">
        <v>49</v>
      </c>
      <c r="F48" s="79"/>
      <c r="G48" s="86">
        <v>0</v>
      </c>
      <c r="H48" s="86">
        <v>0</v>
      </c>
      <c r="I48" s="86">
        <v>0</v>
      </c>
      <c r="J48" s="86">
        <v>0</v>
      </c>
      <c r="K48" s="86">
        <v>0</v>
      </c>
      <c r="L48" s="86">
        <v>0</v>
      </c>
      <c r="M48" s="86">
        <v>0</v>
      </c>
      <c r="N48" s="21">
        <f t="shared" si="4"/>
        <v>0</v>
      </c>
      <c r="O48" s="13"/>
      <c r="P48" s="1"/>
      <c r="Q48" s="1"/>
      <c r="R48" s="1"/>
      <c r="S48" s="1"/>
      <c r="T48" s="1"/>
      <c r="U48" s="1"/>
      <c r="V48" s="1"/>
    </row>
    <row r="49" spans="1:22" ht="18.75" x14ac:dyDescent="0.3">
      <c r="A49" s="1"/>
      <c r="B49" s="1"/>
      <c r="C49" s="1"/>
      <c r="D49" s="1"/>
      <c r="E49" s="81" t="s">
        <v>32</v>
      </c>
      <c r="F49" s="81"/>
      <c r="G49" s="16">
        <f>SUM(G41:G48)</f>
        <v>0</v>
      </c>
      <c r="H49" s="16">
        <f t="shared" ref="H49:N49" si="5">SUM(H41:H48)</f>
        <v>0</v>
      </c>
      <c r="I49" s="16">
        <f t="shared" si="5"/>
        <v>0</v>
      </c>
      <c r="J49" s="16">
        <f t="shared" si="5"/>
        <v>0</v>
      </c>
      <c r="K49" s="16">
        <f t="shared" si="5"/>
        <v>0</v>
      </c>
      <c r="L49" s="16">
        <f t="shared" si="5"/>
        <v>0</v>
      </c>
      <c r="M49" s="16">
        <f t="shared" si="5"/>
        <v>0</v>
      </c>
      <c r="N49" s="84">
        <f t="shared" si="5"/>
        <v>0</v>
      </c>
      <c r="O49" s="84"/>
      <c r="P49" s="1"/>
      <c r="Q49" s="1"/>
      <c r="R49" s="1"/>
      <c r="S49" s="1"/>
      <c r="T49" s="1"/>
      <c r="U49" s="1"/>
      <c r="V49" s="1"/>
    </row>
    <row r="50" spans="1:2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1:2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</row>
    <row r="52" spans="1:22" ht="21" x14ac:dyDescent="0.35">
      <c r="A52" s="1"/>
      <c r="B52" s="1"/>
      <c r="C52" s="1"/>
      <c r="D52" s="1"/>
      <c r="E52" s="12" t="s">
        <v>36</v>
      </c>
      <c r="F52" s="13"/>
      <c r="G52" s="13"/>
      <c r="H52" s="13"/>
      <c r="I52" s="13"/>
      <c r="J52" s="13"/>
      <c r="K52" s="13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</row>
    <row r="53" spans="1:22" x14ac:dyDescent="0.25">
      <c r="A53" s="1"/>
      <c r="B53" s="1"/>
      <c r="C53" s="1"/>
      <c r="D53" s="1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</row>
    <row r="54" spans="1:22" ht="20.25" thickBot="1" x14ac:dyDescent="0.3">
      <c r="A54" s="1"/>
      <c r="B54" s="1"/>
      <c r="C54" s="1"/>
      <c r="D54" s="1"/>
      <c r="E54" s="65" t="s">
        <v>39</v>
      </c>
      <c r="F54" s="65"/>
      <c r="G54" s="85">
        <v>44521</v>
      </c>
      <c r="H54" s="85">
        <v>44522</v>
      </c>
      <c r="I54" s="85">
        <v>44523</v>
      </c>
      <c r="J54" s="85">
        <v>44524</v>
      </c>
      <c r="K54" s="85">
        <v>44525</v>
      </c>
      <c r="L54" s="85">
        <v>44526</v>
      </c>
      <c r="M54" s="85">
        <v>44527</v>
      </c>
      <c r="N54" s="36" t="s">
        <v>4</v>
      </c>
      <c r="O54" s="13"/>
      <c r="P54" s="1"/>
      <c r="Q54" s="1"/>
      <c r="R54" s="1"/>
      <c r="S54" s="1"/>
      <c r="T54" s="1"/>
      <c r="U54" s="1"/>
      <c r="V54" s="1"/>
    </row>
    <row r="55" spans="1:22" ht="19.5" thickTop="1" x14ac:dyDescent="0.25">
      <c r="A55" s="1"/>
      <c r="B55" s="1"/>
      <c r="C55" s="1"/>
      <c r="D55" s="1"/>
      <c r="E55" s="79" t="s">
        <v>29</v>
      </c>
      <c r="F55" s="79"/>
      <c r="G55" s="86">
        <v>0</v>
      </c>
      <c r="H55" s="86">
        <v>0</v>
      </c>
      <c r="I55" s="86">
        <v>0</v>
      </c>
      <c r="J55" s="86">
        <v>0</v>
      </c>
      <c r="K55" s="86">
        <v>0</v>
      </c>
      <c r="L55" s="86">
        <v>0</v>
      </c>
      <c r="M55" s="86">
        <v>0</v>
      </c>
      <c r="N55" s="21">
        <f>SUM(G55:M55)</f>
        <v>0</v>
      </c>
      <c r="O55" s="13"/>
      <c r="P55" s="1"/>
      <c r="Q55" s="1"/>
      <c r="R55" s="1"/>
      <c r="S55" s="1"/>
      <c r="T55" s="1"/>
      <c r="U55" s="1"/>
      <c r="V55" s="1"/>
    </row>
    <row r="56" spans="1:22" ht="18.75" x14ac:dyDescent="0.25">
      <c r="A56" s="1"/>
      <c r="B56" s="1"/>
      <c r="C56" s="1"/>
      <c r="D56" s="1"/>
      <c r="E56" s="79" t="s">
        <v>30</v>
      </c>
      <c r="F56" s="79"/>
      <c r="G56" s="86">
        <v>0</v>
      </c>
      <c r="H56" s="86">
        <v>0</v>
      </c>
      <c r="I56" s="86">
        <v>0</v>
      </c>
      <c r="J56" s="86">
        <v>0</v>
      </c>
      <c r="K56" s="86">
        <v>0</v>
      </c>
      <c r="L56" s="86">
        <v>0</v>
      </c>
      <c r="M56" s="86">
        <v>0</v>
      </c>
      <c r="N56" s="21">
        <f t="shared" ref="N56:N62" si="6">SUM(G56:M56)</f>
        <v>0</v>
      </c>
      <c r="O56" s="13"/>
      <c r="P56" s="1"/>
      <c r="Q56" s="1"/>
      <c r="R56" s="1"/>
      <c r="S56" s="1"/>
      <c r="T56" s="1"/>
      <c r="U56" s="1"/>
      <c r="V56" s="1"/>
    </row>
    <row r="57" spans="1:22" ht="18.75" x14ac:dyDescent="0.25">
      <c r="A57" s="1"/>
      <c r="B57" s="1"/>
      <c r="C57" s="1"/>
      <c r="D57" s="1"/>
      <c r="E57" s="80" t="s">
        <v>31</v>
      </c>
      <c r="F57" s="80"/>
      <c r="G57" s="86">
        <v>0</v>
      </c>
      <c r="H57" s="86">
        <v>0</v>
      </c>
      <c r="I57" s="86">
        <v>0</v>
      </c>
      <c r="J57" s="86">
        <v>0</v>
      </c>
      <c r="K57" s="86">
        <v>0</v>
      </c>
      <c r="L57" s="86">
        <v>0</v>
      </c>
      <c r="M57" s="86">
        <v>0</v>
      </c>
      <c r="N57" s="21">
        <f t="shared" si="6"/>
        <v>0</v>
      </c>
      <c r="O57" s="13"/>
      <c r="P57" s="1"/>
      <c r="Q57" s="1"/>
      <c r="R57" s="1"/>
      <c r="S57" s="1"/>
      <c r="T57" s="1"/>
      <c r="U57" s="1"/>
      <c r="V57" s="1"/>
    </row>
    <row r="58" spans="1:22" ht="18.75" x14ac:dyDescent="0.25">
      <c r="A58" s="1"/>
      <c r="B58" s="1"/>
      <c r="C58" s="1"/>
      <c r="D58" s="1"/>
      <c r="E58" s="80" t="s">
        <v>11</v>
      </c>
      <c r="F58" s="80"/>
      <c r="G58" s="86">
        <v>0</v>
      </c>
      <c r="H58" s="86">
        <v>0</v>
      </c>
      <c r="I58" s="86">
        <v>0</v>
      </c>
      <c r="J58" s="86">
        <v>0</v>
      </c>
      <c r="K58" s="86">
        <v>0</v>
      </c>
      <c r="L58" s="86">
        <v>0</v>
      </c>
      <c r="M58" s="86">
        <v>0</v>
      </c>
      <c r="N58" s="21">
        <f t="shared" si="6"/>
        <v>0</v>
      </c>
      <c r="O58" s="13"/>
      <c r="P58" s="1"/>
      <c r="Q58" s="1"/>
      <c r="R58" s="1"/>
      <c r="S58" s="1"/>
      <c r="T58" s="1"/>
      <c r="U58" s="1"/>
      <c r="V58" s="1"/>
    </row>
    <row r="59" spans="1:22" ht="18.75" x14ac:dyDescent="0.25">
      <c r="A59" s="1"/>
      <c r="B59" s="1"/>
      <c r="C59" s="1"/>
      <c r="D59" s="1"/>
      <c r="E59" s="79" t="s">
        <v>41</v>
      </c>
      <c r="F59" s="79"/>
      <c r="G59" s="86">
        <v>0</v>
      </c>
      <c r="H59" s="86">
        <v>0</v>
      </c>
      <c r="I59" s="86">
        <v>0</v>
      </c>
      <c r="J59" s="86">
        <v>0</v>
      </c>
      <c r="K59" s="86">
        <v>0</v>
      </c>
      <c r="L59" s="86">
        <v>0</v>
      </c>
      <c r="M59" s="86">
        <v>0</v>
      </c>
      <c r="N59" s="21">
        <f t="shared" si="6"/>
        <v>0</v>
      </c>
      <c r="O59" s="13"/>
      <c r="P59" s="1"/>
      <c r="Q59" s="1"/>
      <c r="R59" s="1"/>
      <c r="S59" s="1"/>
      <c r="T59" s="1"/>
      <c r="U59" s="1"/>
      <c r="V59" s="1"/>
    </row>
    <row r="60" spans="1:22" ht="18.75" x14ac:dyDescent="0.25">
      <c r="A60" s="1"/>
      <c r="B60" s="1"/>
      <c r="C60" s="1"/>
      <c r="D60" s="1"/>
      <c r="E60" s="79" t="s">
        <v>49</v>
      </c>
      <c r="F60" s="79"/>
      <c r="G60" s="86">
        <v>0</v>
      </c>
      <c r="H60" s="86">
        <v>0</v>
      </c>
      <c r="I60" s="86">
        <v>0</v>
      </c>
      <c r="J60" s="86">
        <v>0</v>
      </c>
      <c r="K60" s="86">
        <v>0</v>
      </c>
      <c r="L60" s="86">
        <v>0</v>
      </c>
      <c r="M60" s="86">
        <v>0</v>
      </c>
      <c r="N60" s="21">
        <f t="shared" si="6"/>
        <v>0</v>
      </c>
      <c r="O60" s="13"/>
      <c r="P60" s="1"/>
      <c r="Q60" s="1"/>
      <c r="R60" s="1"/>
      <c r="S60" s="1"/>
      <c r="T60" s="1"/>
      <c r="U60" s="1"/>
      <c r="V60" s="1"/>
    </row>
    <row r="61" spans="1:22" ht="18.75" x14ac:dyDescent="0.25">
      <c r="A61" s="1"/>
      <c r="B61" s="1"/>
      <c r="C61" s="1"/>
      <c r="D61" s="1"/>
      <c r="E61" s="79" t="s">
        <v>49</v>
      </c>
      <c r="F61" s="79"/>
      <c r="G61" s="86">
        <v>0</v>
      </c>
      <c r="H61" s="86">
        <v>0</v>
      </c>
      <c r="I61" s="86">
        <v>0</v>
      </c>
      <c r="J61" s="86">
        <v>0</v>
      </c>
      <c r="K61" s="86">
        <v>0</v>
      </c>
      <c r="L61" s="86">
        <v>0</v>
      </c>
      <c r="M61" s="86">
        <v>0</v>
      </c>
      <c r="N61" s="21">
        <f t="shared" si="6"/>
        <v>0</v>
      </c>
      <c r="O61" s="13"/>
      <c r="P61" s="1"/>
      <c r="Q61" s="1"/>
      <c r="R61" s="1"/>
      <c r="S61" s="1"/>
      <c r="T61" s="1"/>
      <c r="U61" s="1"/>
      <c r="V61" s="1"/>
    </row>
    <row r="62" spans="1:22" ht="25.5" customHeight="1" x14ac:dyDescent="0.25">
      <c r="A62" s="1"/>
      <c r="B62" s="1"/>
      <c r="C62" s="1"/>
      <c r="D62" s="1"/>
      <c r="E62" s="79" t="s">
        <v>49</v>
      </c>
      <c r="F62" s="79"/>
      <c r="G62" s="86">
        <v>0</v>
      </c>
      <c r="H62" s="86">
        <v>0</v>
      </c>
      <c r="I62" s="86">
        <v>0</v>
      </c>
      <c r="J62" s="86">
        <v>0</v>
      </c>
      <c r="K62" s="86">
        <v>0</v>
      </c>
      <c r="L62" s="86">
        <v>0</v>
      </c>
      <c r="M62" s="86">
        <v>0</v>
      </c>
      <c r="N62" s="21">
        <f t="shared" si="6"/>
        <v>0</v>
      </c>
      <c r="O62" s="13"/>
      <c r="P62" s="1"/>
      <c r="Q62" s="1"/>
      <c r="R62" s="1"/>
      <c r="S62" s="1"/>
      <c r="T62" s="1"/>
      <c r="U62" s="1"/>
      <c r="V62" s="1"/>
    </row>
    <row r="63" spans="1:22" ht="18.75" x14ac:dyDescent="0.3">
      <c r="A63" s="1"/>
      <c r="B63" s="1"/>
      <c r="C63" s="1"/>
      <c r="D63" s="1"/>
      <c r="E63" s="81" t="s">
        <v>32</v>
      </c>
      <c r="F63" s="81"/>
      <c r="G63" s="16">
        <f>SUM(G55:G62)</f>
        <v>0</v>
      </c>
      <c r="H63" s="16">
        <f t="shared" ref="H63:N63" si="7">SUM(H55:H62)</f>
        <v>0</v>
      </c>
      <c r="I63" s="16">
        <f t="shared" si="7"/>
        <v>0</v>
      </c>
      <c r="J63" s="16">
        <f t="shared" si="7"/>
        <v>0</v>
      </c>
      <c r="K63" s="16">
        <f t="shared" si="7"/>
        <v>0</v>
      </c>
      <c r="L63" s="16">
        <f t="shared" si="7"/>
        <v>0</v>
      </c>
      <c r="M63" s="16">
        <f t="shared" si="7"/>
        <v>0</v>
      </c>
      <c r="N63" s="84">
        <f t="shared" si="7"/>
        <v>0</v>
      </c>
      <c r="O63" s="84"/>
      <c r="P63" s="1"/>
      <c r="Q63" s="1"/>
      <c r="R63" s="1"/>
      <c r="S63" s="1"/>
      <c r="T63" s="1"/>
      <c r="U63" s="1"/>
      <c r="V63" s="1"/>
    </row>
    <row r="64" spans="1:2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</row>
    <row r="65" spans="1:2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</row>
    <row r="66" spans="1:22" ht="21" x14ac:dyDescent="0.35">
      <c r="A66" s="1"/>
      <c r="B66" s="1"/>
      <c r="C66" s="1"/>
      <c r="D66" s="1"/>
      <c r="E66" s="12" t="s">
        <v>51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</row>
    <row r="67" spans="1:2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</row>
    <row r="68" spans="1:22" ht="20.25" thickBot="1" x14ac:dyDescent="0.3">
      <c r="A68" s="1"/>
      <c r="B68" s="1"/>
      <c r="C68" s="1"/>
      <c r="D68" s="1"/>
      <c r="E68" s="65" t="s">
        <v>39</v>
      </c>
      <c r="F68" s="65"/>
      <c r="G68" s="85">
        <v>44528</v>
      </c>
      <c r="H68" s="85">
        <v>44529</v>
      </c>
      <c r="I68" s="85">
        <v>44530</v>
      </c>
      <c r="J68" s="85"/>
      <c r="K68" s="14"/>
      <c r="L68" s="14"/>
      <c r="M68" s="14"/>
      <c r="N68" s="36" t="s">
        <v>4</v>
      </c>
      <c r="O68" s="13"/>
      <c r="P68" s="1"/>
      <c r="Q68" s="1"/>
      <c r="R68" s="1"/>
      <c r="S68" s="1"/>
      <c r="T68" s="1"/>
      <c r="U68" s="1"/>
      <c r="V68" s="1"/>
    </row>
    <row r="69" spans="1:22" ht="19.5" thickTop="1" x14ac:dyDescent="0.25">
      <c r="A69" s="1"/>
      <c r="B69" s="1"/>
      <c r="C69" s="1"/>
      <c r="D69" s="1"/>
      <c r="E69" s="79" t="s">
        <v>29</v>
      </c>
      <c r="F69" s="79"/>
      <c r="G69" s="86">
        <v>0</v>
      </c>
      <c r="H69" s="86">
        <v>0</v>
      </c>
      <c r="I69" s="86">
        <v>0</v>
      </c>
      <c r="J69" s="22"/>
      <c r="K69" s="22"/>
      <c r="L69" s="22"/>
      <c r="M69" s="22"/>
      <c r="N69" s="21">
        <f>SUM(G69:M69)</f>
        <v>0</v>
      </c>
      <c r="O69" s="13"/>
      <c r="P69" s="1"/>
      <c r="Q69" s="1"/>
      <c r="R69" s="1"/>
      <c r="S69" s="1"/>
      <c r="T69" s="1"/>
      <c r="U69" s="1"/>
      <c r="V69" s="1"/>
    </row>
    <row r="70" spans="1:22" ht="18.75" x14ac:dyDescent="0.25">
      <c r="A70" s="1"/>
      <c r="B70" s="1"/>
      <c r="C70" s="1"/>
      <c r="D70" s="1"/>
      <c r="E70" s="79" t="s">
        <v>30</v>
      </c>
      <c r="F70" s="79"/>
      <c r="G70" s="86">
        <v>0</v>
      </c>
      <c r="H70" s="86">
        <v>0</v>
      </c>
      <c r="I70" s="86">
        <v>0</v>
      </c>
      <c r="J70" s="22"/>
      <c r="K70" s="22"/>
      <c r="L70" s="22"/>
      <c r="M70" s="22"/>
      <c r="N70" s="21">
        <f t="shared" ref="N70:N76" si="8">SUM(G70:M70)</f>
        <v>0</v>
      </c>
      <c r="O70" s="13"/>
      <c r="P70" s="1"/>
      <c r="Q70" s="1"/>
      <c r="R70" s="1"/>
      <c r="S70" s="1"/>
      <c r="T70" s="1"/>
      <c r="U70" s="1"/>
      <c r="V70" s="1"/>
    </row>
    <row r="71" spans="1:22" ht="18.75" x14ac:dyDescent="0.25">
      <c r="A71" s="1"/>
      <c r="B71" s="1"/>
      <c r="C71" s="1"/>
      <c r="D71" s="1"/>
      <c r="E71" s="80" t="s">
        <v>31</v>
      </c>
      <c r="F71" s="80"/>
      <c r="G71" s="86">
        <v>0</v>
      </c>
      <c r="H71" s="86">
        <v>0</v>
      </c>
      <c r="I71" s="86">
        <v>0</v>
      </c>
      <c r="J71" s="22"/>
      <c r="K71" s="22"/>
      <c r="L71" s="22"/>
      <c r="M71" s="22"/>
      <c r="N71" s="21">
        <f t="shared" si="8"/>
        <v>0</v>
      </c>
      <c r="O71" s="13"/>
      <c r="P71" s="1"/>
      <c r="Q71" s="1"/>
      <c r="R71" s="1"/>
      <c r="S71" s="1"/>
      <c r="T71" s="1"/>
      <c r="U71" s="1"/>
      <c r="V71" s="1"/>
    </row>
    <row r="72" spans="1:22" ht="18.75" x14ac:dyDescent="0.25">
      <c r="A72" s="1"/>
      <c r="B72" s="1"/>
      <c r="C72" s="1"/>
      <c r="D72" s="1"/>
      <c r="E72" s="80" t="s">
        <v>11</v>
      </c>
      <c r="F72" s="80"/>
      <c r="G72" s="86">
        <v>0</v>
      </c>
      <c r="H72" s="86">
        <v>0</v>
      </c>
      <c r="I72" s="86">
        <v>0</v>
      </c>
      <c r="J72" s="22"/>
      <c r="K72" s="22"/>
      <c r="L72" s="22"/>
      <c r="M72" s="22"/>
      <c r="N72" s="21">
        <f t="shared" si="8"/>
        <v>0</v>
      </c>
      <c r="O72" s="13"/>
      <c r="P72" s="1"/>
      <c r="Q72" s="1"/>
      <c r="R72" s="1"/>
      <c r="S72" s="1"/>
      <c r="T72" s="1"/>
      <c r="U72" s="1"/>
      <c r="V72" s="1"/>
    </row>
    <row r="73" spans="1:22" ht="18.75" x14ac:dyDescent="0.25">
      <c r="A73" s="1"/>
      <c r="B73" s="1"/>
      <c r="C73" s="1"/>
      <c r="D73" s="1"/>
      <c r="E73" s="79" t="s">
        <v>41</v>
      </c>
      <c r="F73" s="79"/>
      <c r="G73" s="86">
        <v>0</v>
      </c>
      <c r="H73" s="86">
        <v>0</v>
      </c>
      <c r="I73" s="86">
        <v>0</v>
      </c>
      <c r="J73" s="22"/>
      <c r="K73" s="22"/>
      <c r="L73" s="22"/>
      <c r="M73" s="22"/>
      <c r="N73" s="21">
        <f t="shared" si="8"/>
        <v>0</v>
      </c>
      <c r="O73" s="13"/>
      <c r="P73" s="1"/>
      <c r="Q73" s="1"/>
      <c r="R73" s="1"/>
      <c r="S73" s="1"/>
      <c r="T73" s="1"/>
      <c r="U73" s="1"/>
      <c r="V73" s="1"/>
    </row>
    <row r="74" spans="1:22" ht="18.75" x14ac:dyDescent="0.25">
      <c r="A74" s="1"/>
      <c r="B74" s="1"/>
      <c r="C74" s="1"/>
      <c r="D74" s="1"/>
      <c r="E74" s="79" t="s">
        <v>49</v>
      </c>
      <c r="F74" s="79"/>
      <c r="G74" s="86">
        <v>0</v>
      </c>
      <c r="H74" s="86">
        <v>0</v>
      </c>
      <c r="I74" s="86">
        <v>0</v>
      </c>
      <c r="J74" s="22"/>
      <c r="K74" s="22"/>
      <c r="L74" s="22"/>
      <c r="M74" s="22"/>
      <c r="N74" s="21">
        <f t="shared" si="8"/>
        <v>0</v>
      </c>
      <c r="O74" s="13"/>
      <c r="P74" s="1"/>
      <c r="Q74" s="1"/>
      <c r="R74" s="1"/>
      <c r="S74" s="1"/>
      <c r="T74" s="1"/>
      <c r="U74" s="1"/>
      <c r="V74" s="1"/>
    </row>
    <row r="75" spans="1:22" ht="18.75" x14ac:dyDescent="0.25">
      <c r="A75" s="1"/>
      <c r="B75" s="1"/>
      <c r="C75" s="1"/>
      <c r="D75" s="1"/>
      <c r="E75" s="79" t="s">
        <v>49</v>
      </c>
      <c r="F75" s="79"/>
      <c r="G75" s="86">
        <v>0</v>
      </c>
      <c r="H75" s="86">
        <v>0</v>
      </c>
      <c r="I75" s="86">
        <v>0</v>
      </c>
      <c r="J75" s="22"/>
      <c r="K75" s="22"/>
      <c r="L75" s="22"/>
      <c r="M75" s="22"/>
      <c r="N75" s="21">
        <f t="shared" si="8"/>
        <v>0</v>
      </c>
      <c r="O75" s="13"/>
      <c r="P75" s="1"/>
      <c r="Q75" s="1"/>
      <c r="R75" s="1"/>
      <c r="S75" s="1"/>
      <c r="T75" s="1"/>
      <c r="U75" s="1"/>
      <c r="V75" s="1"/>
    </row>
    <row r="76" spans="1:22" ht="18.75" x14ac:dyDescent="0.25">
      <c r="A76" s="1"/>
      <c r="B76" s="1"/>
      <c r="C76" s="1"/>
      <c r="D76" s="1"/>
      <c r="E76" s="79" t="s">
        <v>49</v>
      </c>
      <c r="F76" s="79"/>
      <c r="G76" s="86">
        <v>0</v>
      </c>
      <c r="H76" s="86">
        <v>0</v>
      </c>
      <c r="I76" s="86">
        <v>0</v>
      </c>
      <c r="J76" s="22"/>
      <c r="K76" s="22"/>
      <c r="L76" s="22"/>
      <c r="M76" s="22"/>
      <c r="N76" s="21">
        <f t="shared" si="8"/>
        <v>0</v>
      </c>
      <c r="O76" s="13"/>
      <c r="P76" s="1"/>
      <c r="Q76" s="1"/>
      <c r="R76" s="1"/>
      <c r="S76" s="1"/>
      <c r="T76" s="1"/>
      <c r="U76" s="1"/>
      <c r="V76" s="1"/>
    </row>
    <row r="77" spans="1:22" ht="18.75" x14ac:dyDescent="0.3">
      <c r="A77" s="1"/>
      <c r="B77" s="1"/>
      <c r="C77" s="1"/>
      <c r="D77" s="1"/>
      <c r="E77" s="81" t="s">
        <v>32</v>
      </c>
      <c r="F77" s="81"/>
      <c r="G77" s="16">
        <f>SUM(G69:G76)</f>
        <v>0</v>
      </c>
      <c r="H77" s="16">
        <f t="shared" ref="H77:N77" si="9">SUM(H69:H76)</f>
        <v>0</v>
      </c>
      <c r="I77" s="16">
        <f t="shared" si="9"/>
        <v>0</v>
      </c>
      <c r="J77" s="16"/>
      <c r="K77" s="16"/>
      <c r="L77" s="16"/>
      <c r="M77" s="16"/>
      <c r="N77" s="84">
        <f t="shared" si="9"/>
        <v>0</v>
      </c>
      <c r="O77" s="84"/>
      <c r="P77" s="1"/>
      <c r="Q77" s="1"/>
      <c r="R77" s="1"/>
      <c r="S77" s="1"/>
      <c r="T77" s="1"/>
      <c r="U77" s="1"/>
      <c r="V77" s="1"/>
    </row>
    <row r="78" spans="1:2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</row>
    <row r="79" spans="1:2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</row>
    <row r="80" spans="1:2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</row>
    <row r="81" spans="1:2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</row>
    <row r="82" spans="1:2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</row>
    <row r="83" spans="1:2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</row>
    <row r="84" spans="1:2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</row>
    <row r="85" spans="1:2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</row>
    <row r="86" spans="1:2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</row>
    <row r="87" spans="1:2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</row>
    <row r="88" spans="1:2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</row>
    <row r="89" spans="1:2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</row>
    <row r="91" spans="1:2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</row>
    <row r="92" spans="1:2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</row>
    <row r="93" spans="1:2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</row>
    <row r="94" spans="1:2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</row>
    <row r="95" spans="1:2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</row>
    <row r="96" spans="1:2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</row>
    <row r="97" spans="1:2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</row>
    <row r="98" spans="1:2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</row>
    <row r="99" spans="1:2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</row>
    <row r="100" spans="1:2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</row>
    <row r="101" spans="1:2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</row>
    <row r="102" spans="1:2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</row>
    <row r="103" spans="1:2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</row>
    <row r="104" spans="1:2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</row>
    <row r="105" spans="1:2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</row>
    <row r="106" spans="1:2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</row>
    <row r="107" spans="1:2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</row>
    <row r="108" spans="1:2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</row>
    <row r="109" spans="1:2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</row>
    <row r="110" spans="1:2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</row>
    <row r="111" spans="1:2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</row>
  </sheetData>
  <mergeCells count="57">
    <mergeCell ref="E74:F74"/>
    <mergeCell ref="E75:F75"/>
    <mergeCell ref="E76:F76"/>
    <mergeCell ref="E77:F77"/>
    <mergeCell ref="N77:O77"/>
    <mergeCell ref="E69:F69"/>
    <mergeCell ref="E70:F70"/>
    <mergeCell ref="E71:F71"/>
    <mergeCell ref="E72:F72"/>
    <mergeCell ref="E73:F73"/>
    <mergeCell ref="E49:F49"/>
    <mergeCell ref="N49:O49"/>
    <mergeCell ref="E63:F63"/>
    <mergeCell ref="N63:O63"/>
    <mergeCell ref="E68:F68"/>
    <mergeCell ref="E60:F60"/>
    <mergeCell ref="E61:F61"/>
    <mergeCell ref="E62:F62"/>
    <mergeCell ref="E54:F54"/>
    <mergeCell ref="E55:F55"/>
    <mergeCell ref="E56:F56"/>
    <mergeCell ref="E57:F57"/>
    <mergeCell ref="E58:F58"/>
    <mergeCell ref="E59:F59"/>
    <mergeCell ref="P14:Q14"/>
    <mergeCell ref="P10:Q10"/>
    <mergeCell ref="N20:O20"/>
    <mergeCell ref="N35:O35"/>
    <mergeCell ref="E18:F18"/>
    <mergeCell ref="E31:F31"/>
    <mergeCell ref="E15:F15"/>
    <mergeCell ref="E16:F16"/>
    <mergeCell ref="E20:F20"/>
    <mergeCell ref="E17:F17"/>
    <mergeCell ref="E19:F19"/>
    <mergeCell ref="E26:F26"/>
    <mergeCell ref="E27:F27"/>
    <mergeCell ref="E28:F28"/>
    <mergeCell ref="E29:F29"/>
    <mergeCell ref="E11:F11"/>
    <mergeCell ref="E12:F12"/>
    <mergeCell ref="E13:F13"/>
    <mergeCell ref="E14:F14"/>
    <mergeCell ref="E35:F35"/>
    <mergeCell ref="E30:F30"/>
    <mergeCell ref="E48:F48"/>
    <mergeCell ref="E32:F32"/>
    <mergeCell ref="E33:F33"/>
    <mergeCell ref="E34:F34"/>
    <mergeCell ref="E40:F40"/>
    <mergeCell ref="E41:F41"/>
    <mergeCell ref="E42:F42"/>
    <mergeCell ref="E43:F43"/>
    <mergeCell ref="E44:F44"/>
    <mergeCell ref="E45:F45"/>
    <mergeCell ref="E46:F46"/>
    <mergeCell ref="E47:F47"/>
  </mergeCells>
  <phoneticPr fontId="18" type="noConversion"/>
  <conditionalFormatting sqref="G11:M11">
    <cfRule type="timePeriod" dxfId="5" priority="13" timePeriod="lastWeek">
      <formula>AND(TODAY()-ROUNDDOWN(G11,0)&gt;=(WEEKDAY(TODAY())),TODAY()-ROUNDDOWN(G11,0)&lt;(WEEKDAY(TODAY())+7))</formula>
    </cfRule>
  </conditionalFormatting>
  <conditionalFormatting sqref="G68:H68 J68:M68">
    <cfRule type="timePeriod" dxfId="4" priority="3" timePeriod="lastWeek">
      <formula>AND(TODAY()-ROUNDDOWN(G68,0)&gt;=(WEEKDAY(TODAY())),TODAY()-ROUNDDOWN(G68,0)&lt;(WEEKDAY(TODAY())+7))</formula>
    </cfRule>
  </conditionalFormatting>
  <conditionalFormatting sqref="G40:M40">
    <cfRule type="timePeriod" dxfId="3" priority="5" timePeriod="lastWeek">
      <formula>AND(TODAY()-ROUNDDOWN(G40,0)&gt;=(WEEKDAY(TODAY())),TODAY()-ROUNDDOWN(G40,0)&lt;(WEEKDAY(TODAY())+7))</formula>
    </cfRule>
  </conditionalFormatting>
  <conditionalFormatting sqref="G54:M54">
    <cfRule type="timePeriod" dxfId="2" priority="4" timePeriod="lastWeek">
      <formula>AND(TODAY()-ROUNDDOWN(G54,0)&gt;=(WEEKDAY(TODAY())),TODAY()-ROUNDDOWN(G54,0)&lt;(WEEKDAY(TODAY())+7))</formula>
    </cfRule>
  </conditionalFormatting>
  <conditionalFormatting sqref="I68">
    <cfRule type="timePeriod" dxfId="1" priority="2" timePeriod="lastWeek">
      <formula>AND(TODAY()-ROUNDDOWN(I68,0)&gt;=(WEEKDAY(TODAY())),TODAY()-ROUNDDOWN(I68,0)&lt;(WEEKDAY(TODAY())+7))</formula>
    </cfRule>
  </conditionalFormatting>
  <conditionalFormatting sqref="G26:M26">
    <cfRule type="timePeriod" dxfId="0" priority="1" timePeriod="lastWeek">
      <formula>AND(TODAY()-ROUNDDOWN(G26,0)&gt;=(WEEKDAY(TODAY())),TODAY()-ROUNDDOWN(G26,0)&lt;(WEEKDAY(TODAY())+7))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Geral</vt:lpstr>
      <vt:lpstr>Graficos</vt:lpstr>
      <vt:lpstr>Fixos</vt:lpstr>
      <vt:lpstr>Funcionario</vt:lpstr>
      <vt:lpstr>Fornecedores</vt:lpstr>
      <vt:lpstr>Clientes</vt:lpstr>
      <vt:lpstr>Despesas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User</cp:lastModifiedBy>
  <cp:revision/>
  <cp:lastPrinted>2021-10-19T11:47:21Z</cp:lastPrinted>
  <dcterms:created xsi:type="dcterms:W3CDTF">2020-12-12T18:15:23Z</dcterms:created>
  <dcterms:modified xsi:type="dcterms:W3CDTF">2021-10-26T17:32:09Z</dcterms:modified>
  <cp:category/>
  <cp:contentStatus/>
</cp:coreProperties>
</file>